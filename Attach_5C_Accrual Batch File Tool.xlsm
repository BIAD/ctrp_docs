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411" codeName="{6BE1CDB9-6C1C-A5B6-3FC1-E231EC3C600E}"/>
  <workbookPr codeName="ThisWorkbook" autoCompressPictures="0"/>
  <mc:AlternateContent xmlns:mc="http://schemas.openxmlformats.org/markup-compatibility/2006">
    <mc:Choice Requires="x15">
      <x15ac:absPath xmlns:x15ac="http://schemas.microsoft.com/office/spreadsheetml/2010/11/ac" url="/Users/freundje/Downloads/"/>
    </mc:Choice>
  </mc:AlternateContent>
  <xr:revisionPtr revIDLastSave="0" documentId="13_ncr:1_{B2184393-FC41-8D45-8270-E21B8CD9BF70}" xr6:coauthVersionLast="46" xr6:coauthVersionMax="46" xr10:uidLastSave="{00000000-0000-0000-0000-000000000000}"/>
  <bookViews>
    <workbookView xWindow="39480" yWindow="820" windowWidth="27600" windowHeight="1888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2" i="7" l="1"/>
  <c r="C70" i="7"/>
  <c r="C68" i="7"/>
  <c r="C61" i="7"/>
  <c r="C67" i="7"/>
  <c r="C75" i="7"/>
  <c r="C74" i="7"/>
  <c r="C73" i="7"/>
  <c r="C71" i="7"/>
  <c r="C69" i="7"/>
  <c r="C66" i="7"/>
  <c r="C65" i="7"/>
  <c r="C64" i="7"/>
  <c r="C63" i="7"/>
  <c r="C62" i="7"/>
  <c r="C15" i="7"/>
  <c r="C14" i="7"/>
  <c r="C12" i="7"/>
  <c r="C10" i="7"/>
  <c r="C13" i="7" l="1"/>
  <c r="C18" i="7" l="1"/>
  <c r="C22" i="7" l="1"/>
  <c r="C16" i="7"/>
  <c r="C19" i="7"/>
  <c r="C20" i="7"/>
  <c r="K6" i="7"/>
  <c r="C27" i="7"/>
  <c r="C28" i="7"/>
  <c r="J6" i="7"/>
  <c r="C23" i="7"/>
  <c r="C21" i="7"/>
  <c r="N6" i="7"/>
  <c r="C17" i="7"/>
  <c r="M6" i="7"/>
  <c r="E3" i="7"/>
  <c r="I6" i="7" s="1"/>
  <c r="L6" i="7" l="1"/>
</calcChain>
</file>

<file path=xl/sharedStrings.xml><?xml version="1.0" encoding="utf-8"?>
<sst xmlns="http://schemas.openxmlformats.org/spreadsheetml/2006/main" count="345" uniqueCount="295">
  <si>
    <t>Study Id</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</si>
  <si>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</si>
  <si>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</si>
  <si>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</si>
  <si>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</si>
  <si>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</si>
  <si>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</si>
  <si>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</si>
  <si>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</si>
  <si>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</si>
  <si>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</si>
  <si>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</si>
  <si>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</si>
  <si>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</si>
  <si>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</si>
  <si>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</si>
  <si>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</si>
  <si>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</si>
  <si>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</si>
  <si>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</si>
  <si>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</si>
  <si>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</si>
  <si>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</si>
  <si>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</si>
  <si>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</si>
  <si>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</si>
  <si>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</si>
  <si>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</si>
  <si>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</si>
  <si>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</si>
  <si>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</si>
  <si>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</si>
  <si>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</si>
  <si>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</si>
  <si>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</si>
  <si>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</si>
  <si>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</si>
  <si>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</si>
  <si>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</si>
  <si>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</si>
  <si>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</si>
  <si>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</si>
  <si>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</si>
  <si>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</si>
  <si>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</si>
  <si>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</si>
  <si>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</si>
  <si>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</si>
  <si>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</si>
  <si>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</si>
  <si>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</si>
  <si>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</si>
  <si>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</si>
  <si>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</si>
  <si>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</si>
  <si>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</si>
  <si>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</si>
  <si>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</si>
  <si>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</si>
  <si>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</si>
  <si>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</si>
  <si>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</si>
  <si>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</si>
  <si>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</si>
  <si>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</si>
  <si>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</si>
  <si>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</si>
  <si>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</si>
  <si>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</si>
  <si>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</si>
  <si>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</si>
  <si>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</si>
  <si>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</si>
  <si>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</si>
  <si>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</si>
  <si>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</si>
  <si>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</si>
  <si>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</si>
  <si>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</si>
  <si>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</si>
  <si>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</si>
  <si>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</si>
  <si>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</si>
  <si>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</si>
  <si>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</si>
  <si>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</si>
  <si>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</si>
  <si>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</si>
  <si>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</si>
  <si>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</si>
  <si>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</si>
  <si>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</si>
  <si>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</si>
  <si>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</si>
  <si>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</si>
  <si>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</si>
  <si>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</si>
  <si>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</si>
  <si>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</si>
  <si>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</si>
  <si>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</si>
  <si>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</si>
  <si>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</si>
  <si>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</si>
  <si>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</si>
  <si>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</si>
  <si>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</si>
  <si>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</si>
  <si>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</si>
  <si>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</si>
  <si>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</si>
  <si>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</si>
  <si>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</si>
  <si>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</si>
  <si>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</si>
  <si>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</si>
  <si>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</si>
  <si>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</si>
  <si>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</si>
  <si>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</si>
  <si>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</si>
  <si>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</si>
  <si>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</si>
  <si>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</si>
  <si>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</si>
  <si>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</si>
  <si>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</si>
  <si>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</si>
  <si>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</si>
  <si>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</si>
  <si>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</si>
  <si>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</si>
  <si>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</si>
  <si>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</si>
  <si>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</si>
  <si>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</si>
  <si>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</si>
  <si>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</si>
  <si>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</si>
  <si>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</si>
  <si>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</si>
  <si>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</si>
  <si>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</si>
  <si>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</si>
  <si>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</si>
  <si>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</si>
  <si>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</si>
  <si>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</si>
  <si>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</si>
  <si>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</si>
  <si>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</si>
  <si>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</si>
  <si>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</si>
  <si>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</si>
  <si>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</si>
  <si>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</si>
  <si>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</si>
  <si>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</si>
  <si>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</si>
  <si>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</si>
  <si>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</si>
  <si>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</si>
  <si>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</si>
  <si>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</si>
  <si>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</si>
  <si>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</si>
  <si>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</si>
  <si>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</si>
  <si>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</si>
  <si>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</si>
  <si>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</si>
  <si>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</si>
  <si>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</si>
  <si>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</si>
  <si>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</si>
  <si>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</si>
  <si>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</si>
  <si>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</si>
  <si>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</si>
  <si>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</si>
  <si>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</si>
  <si>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</si>
  <si>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</si>
  <si>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</si>
  <si>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</si>
  <si>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</si>
  <si>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</si>
  <si>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</si>
  <si>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</si>
  <si>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</si>
  <si>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</si>
  <si>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</si>
  <si>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</si>
  <si>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</si>
  <si>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</si>
  <si>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</si>
  <si>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</si>
  <si>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</si>
  <si>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</si>
  <si>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</si>
  <si>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</si>
  <si>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</si>
  <si>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</si>
  <si>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</si>
  <si>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</si>
  <si>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</si>
  <si>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</si>
  <si>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</si>
  <si>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</si>
  <si>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</si>
  <si>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</si>
  <si>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</si>
  <si>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</si>
  <si>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</si>
  <si>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</si>
  <si>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</si>
  <si>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</si>
  <si>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</si>
  <si>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</si>
  <si>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</si>
  <si>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</si>
  <si>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</si>
  <si>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</si>
  <si>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</si>
  <si>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</si>
  <si>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</si>
  <si>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</si>
  <si>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</si>
  <si>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</si>
  <si>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</si>
  <si>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</si>
  <si>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</si>
  <si>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</si>
  <si>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</si>
  <si>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ICD-9</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</si>
  <si>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</si>
  <si>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</si>
  <si>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</si>
  <si>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</si>
  <si>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</si>
  <si>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</si>
  <si>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</si>
  <si>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</si>
  <si>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</si>
  <si>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</si>
  <si>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</si>
  <si>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</si>
  <si>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</si>
  <si>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</si>
  <si>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</si>
  <si>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</si>
  <si>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</si>
  <si>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</si>
  <si>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</si>
  <si>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</si>
  <si>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</si>
  <si>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</si>
  <si>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</si>
  <si>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</si>
  <si>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</si>
  <si>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</si>
  <si>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</si>
  <si>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</si>
  <si>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</si>
  <si>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</si>
  <si>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t>
    </r>
  </si>
  <si>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</si>
  <si>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</si>
  <si>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Undifferentiated</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</si>
  <si>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</si>
  <si>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</si>
  <si>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</si>
  <si>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</si>
  <si>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</si>
  <si>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</si>
  <si>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</si>
  <si>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</si>
  <si>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</si>
  <si>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</si>
  <si>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</si>
  <si>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</si>
  <si>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Text term for an entity, organization, government, corporation, health plan sponsor, or any other financial agent who pays a healthcare provider for the healthcare service rendered to a person or reimburses the cost of the healthcare service.</t>
  </si>
  <si>
    <t>Study Subject ID</t>
  </si>
  <si>
    <t>Study Subject Gender</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</si>
  <si>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</si>
  <si>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</si>
  <si>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</si>
  <si>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</si>
  <si>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</si>
  <si>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</si>
  <si>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</si>
  <si>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</si>
  <si>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</si>
  <si>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r>
      <rPr>
        <b/>
        <sz val="11"/>
        <color theme="1"/>
        <rFont val="Calibri (Body)"/>
      </rPr>
      <t xml:space="preserve">  Subject Birth Date Format</t>
    </r>
    <r>
      <rPr>
        <sz val="11"/>
        <color theme="1"/>
        <rFont val="Calibri"/>
        <family val="2"/>
        <scheme val="minor"/>
      </rPr>
      <t xml:space="preserve">: MM/YYYY
The subject's age reported in CTRP cannot be greater than 125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</si>
  <si>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125 years.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</si>
</sst>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1"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110">
    <xf numFmtId="0" fontId="0" fillId="0" borderId="0" xfId="0"/>
    <xf numFmtId="0" fontId="1" fillId="0" borderId="0" xfId="0" applyFont="1"/>
    <xf numFmtId="0" fontId="1" fillId="0" borderId="0" xfId="0" applyFont="1" applyAlignment="1">
      <alignment wrapText="1"/>
    </xf>
    <xf numFmtId="0" fontId="0" fillId="0" borderId="0" xfId="0" applyFont="1"/>
    <xf numFmtId="0" fontId="1" fillId="0" borderId="0" xfId="0" applyFont="1" applyBorder="1"/>
    <xf numFmtId="0" fontId="1" fillId="0" borderId="8" xfId="0" applyFont="1" applyBorder="1"/>
    <xf numFmtId="0" fontId="1" fillId="0" borderId="3" xfId="0" applyFont="1" applyBorder="1"/>
    <xf numFmtId="0" fontId="1" fillId="0" borderId="0" xfId="0" applyFont="1" applyBorder="1" applyAlignment="1">
      <alignment wrapText="1"/>
    </xf>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5"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Font="1" applyAlignment="1">
      <alignment horizontal="left"/>
    </xf>
    <xf numFmtId="0" fontId="0" fillId="0" borderId="5" xfId="0" applyFont="1" applyBorder="1"/>
    <xf numFmtId="49" fontId="0" fillId="0" borderId="1" xfId="0" applyNumberFormat="1" applyFont="1" applyBorder="1" applyAlignment="1">
      <alignment horizontal="left"/>
    </xf>
    <xf numFmtId="0" fontId="0" fillId="0" borderId="6" xfId="0" applyFont="1" applyBorder="1"/>
    <xf numFmtId="0" fontId="0" fillId="0" borderId="0" xfId="0" applyFont="1" applyBorder="1"/>
    <xf numFmtId="0" fontId="0" fillId="0" borderId="7" xfId="0" applyFont="1" applyBorder="1"/>
    <xf numFmtId="49" fontId="0" fillId="0" borderId="8" xfId="0" applyNumberFormat="1" applyFont="1" applyBorder="1" applyAlignment="1">
      <alignment horizontal="left"/>
    </xf>
    <xf numFmtId="0" fontId="0" fillId="0" borderId="8" xfId="0" applyFont="1" applyBorder="1"/>
    <xf numFmtId="0" fontId="0" fillId="0" borderId="9" xfId="0" applyFont="1" applyBorder="1"/>
    <xf numFmtId="49" fontId="0" fillId="0" borderId="0" xfId="0" applyNumberFormat="1" applyFont="1" applyBorder="1" applyAlignment="1">
      <alignment horizontal="left"/>
    </xf>
    <xf numFmtId="0" fontId="0" fillId="0" borderId="2" xfId="0" applyFont="1" applyBorder="1"/>
    <xf numFmtId="164" fontId="0" fillId="0" borderId="1" xfId="0" applyNumberFormat="1" applyFont="1" applyBorder="1" applyAlignment="1">
      <alignment horizontal="left"/>
    </xf>
    <xf numFmtId="165" fontId="0" fillId="0" borderId="1" xfId="0" applyNumberFormat="1" applyFont="1" applyBorder="1" applyAlignment="1">
      <alignment horizontal="left"/>
    </xf>
    <xf numFmtId="0" fontId="0" fillId="0" borderId="1" xfId="0" applyFont="1" applyBorder="1" applyAlignment="1">
      <alignment horizontal="left"/>
    </xf>
    <xf numFmtId="14" fontId="0" fillId="0" borderId="1" xfId="0" applyNumberFormat="1" applyFont="1" applyBorder="1" applyAlignment="1">
      <alignment horizontal="left"/>
    </xf>
    <xf numFmtId="0" fontId="0" fillId="0" borderId="8" xfId="0" applyFont="1" applyBorder="1" applyAlignment="1">
      <alignment horizontal="left"/>
    </xf>
    <xf numFmtId="0" fontId="0" fillId="0" borderId="3" xfId="0" applyFont="1" applyBorder="1"/>
    <xf numFmtId="0" fontId="0" fillId="0" borderId="4" xfId="0" applyFont="1" applyBorder="1"/>
    <xf numFmtId="1" fontId="0" fillId="0" borderId="1" xfId="0" applyNumberFormat="1" applyFont="1" applyBorder="1" applyAlignment="1">
      <alignment horizontal="left"/>
    </xf>
    <xf numFmtId="0" fontId="0" fillId="0" borderId="0" xfId="1" applyFont="1"/>
    <xf numFmtId="0" fontId="0" fillId="0" borderId="0" xfId="0" applyFont="1" applyFill="1"/>
    <xf numFmtId="14" fontId="0" fillId="0" borderId="0" xfId="0" applyNumberFormat="1" applyFont="1" applyBorder="1" applyAlignment="1">
      <alignment horizontal="left"/>
    </xf>
    <xf numFmtId="0" fontId="8" fillId="0" borderId="3" xfId="0" applyFont="1" applyBorder="1" applyAlignment="1">
      <alignment horizontal="left" wrapText="1"/>
    </xf>
    <xf numFmtId="49" fontId="0" fillId="0" borderId="0" xfId="0" applyNumberFormat="1" applyFont="1"/>
    <xf numFmtId="49" fontId="0" fillId="0" borderId="1" xfId="0" applyNumberFormat="1" applyFont="1" applyBorder="1"/>
    <xf numFmtId="0" fontId="1" fillId="0" borderId="0" xfId="0" applyFont="1" applyBorder="1" applyAlignment="1">
      <alignment vertical="top" wrapText="1"/>
    </xf>
    <xf numFmtId="0" fontId="0" fillId="0" borderId="15" xfId="0" applyFont="1" applyBorder="1"/>
    <xf numFmtId="0" fontId="1" fillId="0" borderId="3" xfId="0" applyFont="1" applyBorder="1" applyAlignment="1">
      <alignment horizontal="center" wrapText="1"/>
    </xf>
    <xf numFmtId="0" fontId="9" fillId="0" borderId="0" xfId="0" applyFont="1" applyAlignment="1"/>
    <xf numFmtId="0" fontId="0" fillId="0" borderId="1" xfId="0" applyNumberFormat="1" applyFont="1" applyBorder="1" applyAlignment="1">
      <alignment horizontal="left"/>
    </xf>
    <xf numFmtId="0" fontId="9" fillId="0" borderId="0" xfId="0" applyFont="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xf numFmtId="0" fontId="0" fillId="2" borderId="5" xfId="0" applyFont="1" applyFill="1" applyBorder="1" applyAlignment="1">
      <alignment horizontal="center" vertical="top" wrapText="1"/>
    </xf>
    <xf numFmtId="0" fontId="0" fillId="2" borderId="0" xfId="0" applyFont="1" applyFill="1" applyBorder="1" applyAlignment="1">
      <alignment horizontal="center" vertical="top" wrapText="1"/>
    </xf>
    <xf numFmtId="0" fontId="0" fillId="2" borderId="6" xfId="0" applyFont="1" applyFill="1" applyBorder="1" applyAlignment="1">
      <alignment horizontal="center" vertical="top" wrapText="1"/>
    </xf>
    <xf numFmtId="0" fontId="0" fillId="2" borderId="7" xfId="0" applyFont="1" applyFill="1" applyBorder="1" applyAlignment="1">
      <alignment horizontal="center" vertical="top" wrapText="1"/>
    </xf>
    <xf numFmtId="0" fontId="0" fillId="2" borderId="8" xfId="0" applyFont="1" applyFill="1" applyBorder="1" applyAlignment="1">
      <alignment horizontal="center" vertical="top" wrapText="1"/>
    </xf>
    <xf numFmtId="0" fontId="0" fillId="2" borderId="9" xfId="0" applyFont="1"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ont="1" applyFill="1" applyBorder="1" applyAlignment="1">
      <alignment horizontal="left" vertical="top" wrapText="1"/>
    </xf>
    <xf numFmtId="0" fontId="0" fillId="2" borderId="17" xfId="0" applyFont="1" applyFill="1" applyBorder="1" applyAlignment="1">
      <alignment horizontal="left" vertical="top" wrapText="1"/>
    </xf>
    <xf numFmtId="0" fontId="0" fillId="2" borderId="18" xfId="0" applyFont="1" applyFill="1" applyBorder="1" applyAlignment="1">
      <alignment horizontal="left" vertical="top" wrapText="1"/>
    </xf>
    <xf numFmtId="0" fontId="0" fillId="2" borderId="5" xfId="0" applyFont="1" applyFill="1" applyBorder="1" applyAlignment="1">
      <alignment horizontal="left" vertical="top" wrapText="1"/>
    </xf>
    <xf numFmtId="0" fontId="0" fillId="2" borderId="0" xfId="0" applyFont="1" applyFill="1" applyBorder="1" applyAlignment="1">
      <alignment horizontal="left" vertical="top" wrapText="1"/>
    </xf>
    <xf numFmtId="0" fontId="0" fillId="2" borderId="6" xfId="0" applyFont="1" applyFill="1" applyBorder="1" applyAlignment="1">
      <alignment horizontal="left" vertical="top" wrapText="1"/>
    </xf>
    <xf numFmtId="0" fontId="0" fillId="2" borderId="19" xfId="0" applyFont="1" applyFill="1" applyBorder="1" applyAlignment="1">
      <alignment horizontal="left" vertical="top" wrapText="1"/>
    </xf>
    <xf numFmtId="0" fontId="0" fillId="2" borderId="20" xfId="0" applyFont="1" applyFill="1" applyBorder="1" applyAlignment="1">
      <alignment horizontal="left" vertical="top" wrapText="1"/>
    </xf>
    <xf numFmtId="0" fontId="0" fillId="2" borderId="21" xfId="0" applyFont="1" applyFill="1" applyBorder="1" applyAlignment="1">
      <alignment horizontal="left" vertical="top" wrapText="1"/>
    </xf>
    <xf numFmtId="0" fontId="0" fillId="0" borderId="6" xfId="0" applyFont="1"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Border="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21</xdr:row>
      <xdr:rowOff>148590</xdr:rowOff>
    </xdr:from>
    <xdr:to>
      <xdr:col>6</xdr:col>
      <xdr:colOff>25400</xdr:colOff>
      <xdr:row>23</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26</xdr:row>
      <xdr:rowOff>53340</xdr:rowOff>
    </xdr:from>
    <xdr:to>
      <xdr:col>6</xdr:col>
      <xdr:colOff>1645920</xdr:colOff>
      <xdr:row>27</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37</xdr:row>
      <xdr:rowOff>127000</xdr:rowOff>
    </xdr:from>
    <xdr:to>
      <xdr:col>6</xdr:col>
      <xdr:colOff>800100</xdr:colOff>
      <xdr:row>48</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79</xdr:row>
      <xdr:rowOff>76200</xdr:rowOff>
    </xdr:from>
    <xdr:to>
      <xdr:col>5</xdr:col>
      <xdr:colOff>399415</xdr:colOff>
      <xdr:row>82</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84</xdr:row>
      <xdr:rowOff>25400</xdr:rowOff>
    </xdr:from>
    <xdr:to>
      <xdr:col>5</xdr:col>
      <xdr:colOff>399415</xdr:colOff>
      <xdr:row>86</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60</xdr:row>
      <xdr:rowOff>0</xdr:rowOff>
    </xdr:from>
    <xdr:to>
      <xdr:col>5</xdr:col>
      <xdr:colOff>486410</xdr:colOff>
      <xdr:row>60</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73</xdr:row>
      <xdr:rowOff>0</xdr:rowOff>
    </xdr:from>
    <xdr:to>
      <xdr:col>6</xdr:col>
      <xdr:colOff>181610</xdr:colOff>
      <xdr:row>73</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73</xdr:row>
      <xdr:rowOff>152400</xdr:rowOff>
    </xdr:from>
    <xdr:to>
      <xdr:col>6</xdr:col>
      <xdr:colOff>241300</xdr:colOff>
      <xdr:row>75</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8"/>
  <sheetViews>
    <sheetView workbookViewId="0">
      <pane ySplit="1" topLeftCell="A80" activePane="bottomLeft" state="frozen"/>
      <selection pane="bottomLeft" activeCell="B22" sqref="B22:E22"/>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11" customFormat="1" ht="74.25" customHeight="1" x14ac:dyDescent="0.2">
      <c r="B1" s="69" t="s">
        <v>197</v>
      </c>
      <c r="C1" s="70"/>
      <c r="D1" s="70"/>
      <c r="E1" s="71"/>
    </row>
    <row r="2" spans="2:5" s="32" customFormat="1" ht="74.25" customHeight="1" x14ac:dyDescent="0.2">
      <c r="B2" s="30"/>
      <c r="C2" s="31"/>
      <c r="D2" s="31"/>
    </row>
    <row r="3" spans="2:5" s="32" customFormat="1" ht="74.25" customHeight="1" x14ac:dyDescent="0.2">
      <c r="B3" s="30"/>
      <c r="C3" s="31"/>
      <c r="D3" s="31"/>
    </row>
    <row r="4" spans="2:5" s="32" customFormat="1" ht="74.25" customHeight="1" x14ac:dyDescent="0.2">
      <c r="B4" s="30"/>
      <c r="C4" s="31"/>
      <c r="D4" s="31"/>
    </row>
    <row r="5" spans="2:5" x14ac:dyDescent="0.2">
      <c r="B5" s="12" t="s">
        <v>201</v>
      </c>
      <c r="C5" s="12" t="s">
        <v>198</v>
      </c>
      <c r="D5" s="12" t="s">
        <v>202</v>
      </c>
      <c r="E5" s="12" t="s">
        <v>203</v>
      </c>
    </row>
    <row r="6" spans="2:5" x14ac:dyDescent="0.2">
      <c r="B6" s="14" t="s">
        <v>204</v>
      </c>
      <c r="C6" s="13" t="s">
        <v>205</v>
      </c>
      <c r="D6" s="15">
        <v>41175</v>
      </c>
      <c r="E6" s="13" t="s">
        <v>206</v>
      </c>
    </row>
    <row r="7" spans="2:5" x14ac:dyDescent="0.2">
      <c r="B7" s="14" t="s">
        <v>220</v>
      </c>
      <c r="C7" s="13" t="s">
        <v>221</v>
      </c>
      <c r="D7" s="15">
        <v>41192</v>
      </c>
      <c r="E7" s="13" t="s">
        <v>206</v>
      </c>
    </row>
    <row r="8" spans="2:5" x14ac:dyDescent="0.2">
      <c r="B8" s="14" t="s">
        <v>224</v>
      </c>
      <c r="C8" s="13" t="s">
        <v>221</v>
      </c>
      <c r="D8" s="15">
        <v>41199</v>
      </c>
      <c r="E8" s="13" t="s">
        <v>206</v>
      </c>
    </row>
    <row r="9" spans="2:5" ht="16" x14ac:dyDescent="0.2">
      <c r="B9" s="25" t="s">
        <v>225</v>
      </c>
      <c r="C9" s="26" t="s">
        <v>226</v>
      </c>
      <c r="D9" s="27">
        <v>41243</v>
      </c>
      <c r="E9" s="26" t="s">
        <v>206</v>
      </c>
    </row>
    <row r="10" spans="2:5" ht="32" x14ac:dyDescent="0.2">
      <c r="B10" s="33" t="s">
        <v>228</v>
      </c>
      <c r="C10" s="34" t="s">
        <v>229</v>
      </c>
      <c r="D10" s="35">
        <v>41269</v>
      </c>
      <c r="E10" s="34" t="s">
        <v>206</v>
      </c>
    </row>
    <row r="11" spans="2:5" ht="48" x14ac:dyDescent="0.2">
      <c r="B11" s="25" t="s">
        <v>246</v>
      </c>
      <c r="C11" s="26" t="s">
        <v>259</v>
      </c>
      <c r="D11" s="27">
        <v>42296</v>
      </c>
      <c r="E11" s="26" t="s">
        <v>247</v>
      </c>
    </row>
    <row r="12" spans="2:5" ht="16" x14ac:dyDescent="0.2">
      <c r="B12" s="25" t="s">
        <v>249</v>
      </c>
      <c r="C12" s="26" t="s">
        <v>250</v>
      </c>
      <c r="D12" s="27">
        <v>42985</v>
      </c>
      <c r="E12" s="26" t="s">
        <v>251</v>
      </c>
    </row>
    <row r="13" spans="2:5" ht="32" x14ac:dyDescent="0.2">
      <c r="B13" s="25" t="s">
        <v>253</v>
      </c>
      <c r="C13" s="26" t="s">
        <v>254</v>
      </c>
      <c r="D13" s="27">
        <v>42989</v>
      </c>
      <c r="E13" s="26" t="s">
        <v>251</v>
      </c>
    </row>
    <row r="14" spans="2:5" ht="32" x14ac:dyDescent="0.2">
      <c r="B14" s="25" t="s">
        <v>255</v>
      </c>
      <c r="C14" s="26" t="s">
        <v>256</v>
      </c>
      <c r="D14" s="27">
        <v>43139</v>
      </c>
      <c r="E14" s="26" t="s">
        <v>251</v>
      </c>
    </row>
    <row r="15" spans="2:5" ht="78" customHeight="1" x14ac:dyDescent="0.2">
      <c r="B15" s="25" t="s">
        <v>257</v>
      </c>
      <c r="C15" s="26" t="s">
        <v>258</v>
      </c>
      <c r="D15" s="27">
        <v>43433</v>
      </c>
      <c r="E15" s="26" t="s">
        <v>247</v>
      </c>
    </row>
    <row r="16" spans="2:5" ht="78" customHeight="1" x14ac:dyDescent="0.2">
      <c r="B16" s="25" t="s">
        <v>262</v>
      </c>
      <c r="C16" s="26" t="s">
        <v>263</v>
      </c>
      <c r="D16" s="27">
        <v>43686</v>
      </c>
      <c r="E16" s="26" t="s">
        <v>264</v>
      </c>
    </row>
    <row r="18" spans="2:5" ht="19" x14ac:dyDescent="0.25">
      <c r="B18" s="10" t="s">
        <v>198</v>
      </c>
    </row>
    <row r="19" spans="2:5" s="16" customFormat="1" ht="124.5" customHeight="1" x14ac:dyDescent="0.2">
      <c r="B19" s="72" t="s">
        <v>207</v>
      </c>
      <c r="C19" s="73"/>
      <c r="D19" s="73"/>
      <c r="E19" s="73"/>
    </row>
    <row r="21" spans="2:5" ht="19" x14ac:dyDescent="0.25">
      <c r="B21" s="10" t="s">
        <v>199</v>
      </c>
    </row>
    <row r="22" spans="2:5" s="3" customFormat="1" ht="192" customHeight="1" x14ac:dyDescent="0.2">
      <c r="B22" s="72" t="s">
        <v>269</v>
      </c>
      <c r="C22" s="73"/>
      <c r="D22" s="73"/>
      <c r="E22" s="73"/>
    </row>
    <row r="24" spans="2:5" ht="19" x14ac:dyDescent="0.25">
      <c r="B24" s="10" t="s">
        <v>200</v>
      </c>
    </row>
    <row r="25" spans="2:5" s="1" customFormat="1" ht="123" customHeight="1" x14ac:dyDescent="0.2">
      <c r="B25" s="72" t="s">
        <v>227</v>
      </c>
      <c r="C25" s="73"/>
      <c r="D25" s="73"/>
      <c r="E25" s="73"/>
    </row>
    <row r="27" spans="2:5" ht="19" x14ac:dyDescent="0.25">
      <c r="B27" s="10" t="s">
        <v>230</v>
      </c>
    </row>
    <row r="28" spans="2:5" ht="50" customHeight="1" x14ac:dyDescent="0.2">
      <c r="B28" s="74" t="s">
        <v>265</v>
      </c>
      <c r="C28" s="74"/>
      <c r="D28" s="74"/>
      <c r="E28" s="74"/>
    </row>
  </sheetData>
  <mergeCells count="5">
    <mergeCell ref="B1:E1"/>
    <mergeCell ref="B19:E19"/>
    <mergeCell ref="B22:E22"/>
    <mergeCell ref="B25:E25"/>
    <mergeCell ref="B28:E28"/>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91"/>
  <sheetViews>
    <sheetView tabSelected="1" zoomScaleNormal="100" workbookViewId="0">
      <pane ySplit="1" topLeftCell="A2" activePane="bottomLeft" state="frozen"/>
      <selection pane="bottomLeft" activeCell="E9" sqref="E9:G21"/>
    </sheetView>
  </sheetViews>
  <sheetFormatPr baseColWidth="10" defaultColWidth="8.83203125" defaultRowHeight="15" outlineLevelRow="1" x14ac:dyDescent="0.2"/>
  <cols>
    <col min="1" max="1" width="4.33203125" style="3" customWidth="1"/>
    <col min="2" max="2" width="1.33203125" style="3" customWidth="1"/>
    <col min="3" max="3" width="28.1640625" style="1" customWidth="1"/>
    <col min="4" max="4" width="20" style="38" customWidth="1"/>
    <col min="5" max="5" width="12.5" style="3" customWidth="1"/>
    <col min="6" max="6" width="8.83203125" style="3"/>
    <col min="7" max="8" width="25.5" style="3" customWidth="1"/>
    <col min="9" max="12" width="25.5" style="3" hidden="1" customWidth="1"/>
    <col min="13" max="13" width="40.1640625" style="3" hidden="1" customWidth="1"/>
    <col min="14" max="14" width="32.33203125" style="3" hidden="1" customWidth="1"/>
    <col min="15" max="15" width="25.5" style="3" hidden="1" customWidth="1"/>
    <col min="16" max="16384" width="8.83203125" style="3"/>
  </cols>
  <sheetData>
    <row r="1" spans="2:15" ht="7.25" customHeight="1" thickBot="1" x14ac:dyDescent="0.25"/>
    <row r="2" spans="2:15" s="2" customFormat="1" ht="16" customHeight="1" thickTop="1" x14ac:dyDescent="0.2">
      <c r="B2" s="81" t="s">
        <v>30</v>
      </c>
      <c r="C2" s="82"/>
      <c r="D2" s="82"/>
      <c r="E2" s="82"/>
      <c r="F2" s="82"/>
      <c r="G2" s="83"/>
      <c r="H2" s="7"/>
      <c r="J2" s="3"/>
    </row>
    <row r="3" spans="2:15" ht="16" thickBot="1" x14ac:dyDescent="0.25">
      <c r="B3" s="39"/>
      <c r="C3" s="3" t="str">
        <f>CONCATENATE("*",Patients!A1)</f>
        <v>*Study Id</v>
      </c>
      <c r="D3" s="40"/>
      <c r="E3" s="3" t="str">
        <f>Collections!B1</f>
        <v>Change Code</v>
      </c>
      <c r="F3" s="62"/>
      <c r="G3" s="41"/>
      <c r="H3" s="42"/>
    </row>
    <row r="4" spans="2:15" ht="6" customHeight="1" thickTop="1" thickBot="1" x14ac:dyDescent="0.25">
      <c r="B4" s="43"/>
      <c r="C4" s="5"/>
      <c r="D4" s="44"/>
      <c r="E4" s="5"/>
      <c r="F4" s="45"/>
      <c r="G4" s="46"/>
      <c r="H4" s="42"/>
    </row>
    <row r="5" spans="2:15" ht="16" thickTop="1" x14ac:dyDescent="0.2">
      <c r="B5" s="42"/>
      <c r="C5" s="4"/>
      <c r="D5" s="47"/>
      <c r="E5" s="4"/>
      <c r="F5" s="42"/>
      <c r="G5" s="42"/>
      <c r="H5" s="42"/>
    </row>
    <row r="6" spans="2:15" ht="44.25" customHeight="1" x14ac:dyDescent="0.2">
      <c r="B6" s="42"/>
      <c r="C6" s="22" t="s">
        <v>209</v>
      </c>
      <c r="D6" s="47"/>
      <c r="E6" s="4"/>
      <c r="F6" s="42"/>
      <c r="G6" s="42"/>
      <c r="H6" s="42"/>
      <c r="I6" s="2" t="str">
        <f>E3</f>
        <v>Change Code</v>
      </c>
      <c r="J6" s="1" t="str">
        <f>C11</f>
        <v>*Study Subject Country</v>
      </c>
      <c r="K6" s="2" t="str">
        <f>C13</f>
        <v>*Study Subject Gender</v>
      </c>
      <c r="L6" s="2" t="str">
        <f>C14</f>
        <v>*Study Subject Ethnicity</v>
      </c>
      <c r="M6" s="2" t="str">
        <f>C15</f>
        <v>Study Subject method of payment</v>
      </c>
      <c r="N6" s="2" t="str">
        <f>C20</f>
        <v>*Race</v>
      </c>
      <c r="O6" s="1" t="s">
        <v>231</v>
      </c>
    </row>
    <row r="7" spans="2:15" ht="16" thickBot="1" x14ac:dyDescent="0.25">
      <c r="D7" s="47"/>
      <c r="E7" s="1"/>
      <c r="F7" s="42"/>
      <c r="I7" s="61">
        <v>1</v>
      </c>
      <c r="J7" s="3" t="s">
        <v>31</v>
      </c>
      <c r="K7" s="61" t="s">
        <v>8</v>
      </c>
      <c r="L7" s="3" t="s">
        <v>11</v>
      </c>
      <c r="M7" s="3" t="s">
        <v>14</v>
      </c>
      <c r="N7" s="3" t="s">
        <v>26</v>
      </c>
      <c r="O7" s="3" t="s">
        <v>232</v>
      </c>
    </row>
    <row r="8" spans="2:15" ht="17" outlineLevel="1" thickTop="1" x14ac:dyDescent="0.2">
      <c r="B8" s="48"/>
      <c r="C8" s="6"/>
      <c r="D8" s="37" t="s">
        <v>222</v>
      </c>
      <c r="E8" s="84" t="s">
        <v>260</v>
      </c>
      <c r="F8" s="85"/>
      <c r="G8" s="86"/>
      <c r="H8" s="4"/>
      <c r="I8" s="61">
        <v>2</v>
      </c>
      <c r="J8" s="3" t="s">
        <v>32</v>
      </c>
      <c r="K8" s="61" t="s">
        <v>7</v>
      </c>
      <c r="L8" s="3" t="s">
        <v>12</v>
      </c>
      <c r="M8" s="3" t="s">
        <v>15</v>
      </c>
      <c r="N8" s="3" t="s">
        <v>27</v>
      </c>
      <c r="O8" s="3" t="s">
        <v>234</v>
      </c>
    </row>
    <row r="9" spans="2:15" ht="16" customHeight="1" outlineLevel="1" thickBot="1" x14ac:dyDescent="0.25">
      <c r="B9" s="39"/>
      <c r="C9" s="3" t="str">
        <f>CONCATENATE("*",Patients!B1)</f>
        <v>*Study Subject ID</v>
      </c>
      <c r="D9" s="40"/>
      <c r="E9" s="87" t="s">
        <v>293</v>
      </c>
      <c r="F9" s="88"/>
      <c r="G9" s="89"/>
      <c r="H9" s="42"/>
      <c r="J9" s="3" t="s">
        <v>33</v>
      </c>
      <c r="K9" s="61" t="s">
        <v>9</v>
      </c>
      <c r="L9" s="3" t="s">
        <v>13</v>
      </c>
      <c r="M9" s="3" t="s">
        <v>16</v>
      </c>
      <c r="N9" s="3" t="s">
        <v>28</v>
      </c>
      <c r="O9" s="3" t="s">
        <v>233</v>
      </c>
    </row>
    <row r="10" spans="2:15" ht="17" outlineLevel="1" thickTop="1" thickBot="1" x14ac:dyDescent="0.25">
      <c r="B10" s="39"/>
      <c r="C10" s="66" t="str">
        <f>CONCATENATE("*",Patients!C1)</f>
        <v>*Study Subject Zip Code</v>
      </c>
      <c r="D10" s="67"/>
      <c r="E10" s="90"/>
      <c r="F10" s="91"/>
      <c r="G10" s="92"/>
      <c r="H10" s="42"/>
      <c r="J10" s="3" t="s">
        <v>34</v>
      </c>
      <c r="K10" s="61" t="s">
        <v>268</v>
      </c>
      <c r="L10" s="3" t="s">
        <v>9</v>
      </c>
      <c r="M10" s="3" t="s">
        <v>17</v>
      </c>
      <c r="N10" s="3" t="s">
        <v>29</v>
      </c>
      <c r="O10" s="3" t="s">
        <v>235</v>
      </c>
    </row>
    <row r="11" spans="2:15" ht="17" outlineLevel="1" thickTop="1" thickBot="1" x14ac:dyDescent="0.25">
      <c r="B11" s="39"/>
      <c r="C11" s="3" t="str">
        <f>CONCATENATE("*",Patients!D1)</f>
        <v>*Study Subject Country</v>
      </c>
      <c r="D11" s="40"/>
      <c r="E11" s="90"/>
      <c r="F11" s="91"/>
      <c r="G11" s="92"/>
      <c r="H11" s="42"/>
      <c r="J11" s="3" t="s">
        <v>35</v>
      </c>
      <c r="K11" s="61" t="s">
        <v>10</v>
      </c>
      <c r="M11" s="3" t="s">
        <v>18</v>
      </c>
      <c r="N11" s="3" t="s">
        <v>13</v>
      </c>
    </row>
    <row r="12" spans="2:15" ht="17" outlineLevel="1" thickTop="1" thickBot="1" x14ac:dyDescent="0.25">
      <c r="B12" s="39"/>
      <c r="C12" s="3" t="str">
        <f>CONCATENATE("*",Patients!E1)</f>
        <v>*Study Subject Birth Date</v>
      </c>
      <c r="D12" s="50"/>
      <c r="E12" s="90"/>
      <c r="F12" s="91"/>
      <c r="G12" s="92"/>
      <c r="H12" s="42"/>
      <c r="J12" s="3" t="s">
        <v>36</v>
      </c>
      <c r="M12" s="3" t="s">
        <v>208</v>
      </c>
      <c r="N12" s="3" t="s">
        <v>9</v>
      </c>
    </row>
    <row r="13" spans="2:15" ht="17" outlineLevel="1" thickTop="1" thickBot="1" x14ac:dyDescent="0.25">
      <c r="B13" s="39"/>
      <c r="C13" s="3" t="str">
        <f>CONCATENATE("*",Patients!F1)</f>
        <v>*Study Subject Gender</v>
      </c>
      <c r="D13" s="40"/>
      <c r="E13" s="90"/>
      <c r="F13" s="91"/>
      <c r="G13" s="92"/>
      <c r="H13" s="42"/>
      <c r="J13" s="3" t="s">
        <v>37</v>
      </c>
      <c r="M13" s="3" t="s">
        <v>19</v>
      </c>
      <c r="N13" s="3" t="s">
        <v>252</v>
      </c>
    </row>
    <row r="14" spans="2:15" ht="17" outlineLevel="1" thickTop="1" thickBot="1" x14ac:dyDescent="0.25">
      <c r="B14" s="39"/>
      <c r="C14" s="3" t="str">
        <f>CONCATENATE("*",Patients!G1)</f>
        <v>*Study Subject Ethnicity</v>
      </c>
      <c r="D14" s="52"/>
      <c r="E14" s="90"/>
      <c r="F14" s="91"/>
      <c r="G14" s="92"/>
      <c r="H14" s="42"/>
      <c r="J14" s="3" t="s">
        <v>38</v>
      </c>
      <c r="M14" s="3" t="s">
        <v>20</v>
      </c>
    </row>
    <row r="15" spans="2:15" ht="17" outlineLevel="1" thickTop="1" thickBot="1" x14ac:dyDescent="0.25">
      <c r="B15" s="39"/>
      <c r="C15" s="3" t="str">
        <f>Patients!H1</f>
        <v>Study Subject method of payment</v>
      </c>
      <c r="D15" s="51"/>
      <c r="E15" s="90"/>
      <c r="F15" s="91"/>
      <c r="G15" s="92"/>
      <c r="H15" s="42"/>
      <c r="J15" s="3" t="s">
        <v>39</v>
      </c>
      <c r="M15" s="3" t="s">
        <v>21</v>
      </c>
    </row>
    <row r="16" spans="2:15" ht="17" outlineLevel="1" thickTop="1" thickBot="1" x14ac:dyDescent="0.25">
      <c r="B16" s="39"/>
      <c r="C16" s="3" t="str">
        <f>CONCATENATE("*",Patients!I1)</f>
        <v>*Registration Date</v>
      </c>
      <c r="D16" s="52"/>
      <c r="E16" s="90"/>
      <c r="F16" s="91"/>
      <c r="G16" s="92"/>
      <c r="H16" s="42"/>
      <c r="J16" s="3" t="s">
        <v>40</v>
      </c>
      <c r="M16" s="3" t="s">
        <v>22</v>
      </c>
    </row>
    <row r="17" spans="2:20" ht="17" outlineLevel="1" thickTop="1" thickBot="1" x14ac:dyDescent="0.25">
      <c r="B17" s="39"/>
      <c r="C17" s="3" t="str">
        <f>Patients!J1</f>
        <v>Registering Group Identifier</v>
      </c>
      <c r="D17" s="40"/>
      <c r="E17" s="90"/>
      <c r="F17" s="91"/>
      <c r="G17" s="92"/>
      <c r="H17" s="42"/>
      <c r="J17" s="3" t="s">
        <v>41</v>
      </c>
      <c r="M17" s="3" t="s">
        <v>23</v>
      </c>
      <c r="T17" s="64"/>
    </row>
    <row r="18" spans="2:20" ht="17" outlineLevel="1" thickTop="1" thickBot="1" x14ac:dyDescent="0.25">
      <c r="B18" s="39"/>
      <c r="C18" s="3" t="str">
        <f>CONCATENATE("*",Patients!K1)</f>
        <v>*Study Site Identifier</v>
      </c>
      <c r="D18" s="40"/>
      <c r="E18" s="90"/>
      <c r="F18" s="91"/>
      <c r="G18" s="92"/>
      <c r="H18" s="42"/>
      <c r="J18" s="3" t="s">
        <v>42</v>
      </c>
      <c r="M18" s="3" t="s">
        <v>24</v>
      </c>
    </row>
    <row r="19" spans="2:20" ht="17" outlineLevel="1" thickTop="1" thickBot="1" x14ac:dyDescent="0.25">
      <c r="B19" s="39"/>
      <c r="C19" s="3" t="str">
        <f>CONCATENATE("*",Patients!L1)</f>
        <v>*Subject Disease Code</v>
      </c>
      <c r="D19" s="40"/>
      <c r="E19" s="90"/>
      <c r="F19" s="91"/>
      <c r="G19" s="92"/>
      <c r="H19" s="42"/>
      <c r="J19" s="3" t="s">
        <v>43</v>
      </c>
      <c r="M19" s="3" t="s">
        <v>9</v>
      </c>
    </row>
    <row r="20" spans="2:20" ht="17" outlineLevel="1" thickTop="1" thickBot="1" x14ac:dyDescent="0.25">
      <c r="B20" s="39"/>
      <c r="C20" s="3" t="str">
        <f>CONCATENATE("*",Races!C1)</f>
        <v>*Race</v>
      </c>
      <c r="D20" s="51"/>
      <c r="E20" s="90"/>
      <c r="F20" s="91"/>
      <c r="G20" s="92"/>
      <c r="H20" s="42"/>
      <c r="J20" s="3" t="s">
        <v>44</v>
      </c>
      <c r="M20" s="3" t="s">
        <v>25</v>
      </c>
    </row>
    <row r="21" spans="2:20" ht="17" outlineLevel="1" thickTop="1" thickBot="1" x14ac:dyDescent="0.25">
      <c r="B21" s="39"/>
      <c r="C21" s="3" t="str">
        <f>Races!C1</f>
        <v>Race</v>
      </c>
      <c r="D21" s="51"/>
      <c r="E21" s="93"/>
      <c r="F21" s="94"/>
      <c r="G21" s="95"/>
      <c r="H21" s="42"/>
      <c r="J21" s="3" t="s">
        <v>45</v>
      </c>
    </row>
    <row r="22" spans="2:20" ht="17" outlineLevel="1" thickTop="1" thickBot="1" x14ac:dyDescent="0.25">
      <c r="B22" s="39"/>
      <c r="C22" s="3" t="str">
        <f>Races!C1</f>
        <v>Race</v>
      </c>
      <c r="D22" s="51"/>
      <c r="E22" s="75"/>
      <c r="F22" s="76"/>
      <c r="G22" s="77"/>
      <c r="H22" s="42"/>
      <c r="J22" s="3" t="s">
        <v>46</v>
      </c>
    </row>
    <row r="23" spans="2:20" ht="17" outlineLevel="1" thickTop="1" thickBot="1" x14ac:dyDescent="0.25">
      <c r="B23" s="39"/>
      <c r="C23" s="3" t="str">
        <f>Races!C1</f>
        <v>Race</v>
      </c>
      <c r="D23" s="51"/>
      <c r="E23" s="75"/>
      <c r="F23" s="76"/>
      <c r="G23" s="77"/>
      <c r="H23" s="42"/>
      <c r="J23" s="3" t="s">
        <v>47</v>
      </c>
    </row>
    <row r="24" spans="2:20" ht="18.75" customHeight="1" outlineLevel="1" thickTop="1" thickBot="1" x14ac:dyDescent="0.25">
      <c r="B24" s="43"/>
      <c r="C24" s="5"/>
      <c r="D24" s="53"/>
      <c r="E24" s="78"/>
      <c r="F24" s="79"/>
      <c r="G24" s="80"/>
      <c r="J24" s="3" t="s">
        <v>48</v>
      </c>
      <c r="P24" s="64"/>
    </row>
    <row r="25" spans="2:20" ht="16" thickTop="1" x14ac:dyDescent="0.2">
      <c r="H25" s="42"/>
      <c r="J25" s="3" t="s">
        <v>49</v>
      </c>
    </row>
    <row r="26" spans="2:20" ht="16" hidden="1" outlineLevel="1" thickTop="1" x14ac:dyDescent="0.2">
      <c r="B26" s="48"/>
      <c r="C26" s="6"/>
      <c r="D26" s="60" t="s">
        <v>223</v>
      </c>
      <c r="E26" s="54"/>
      <c r="F26" s="54"/>
      <c r="G26" s="55"/>
      <c r="H26" s="42"/>
      <c r="J26" s="3" t="s">
        <v>50</v>
      </c>
    </row>
    <row r="27" spans="2:20" ht="16" hidden="1" outlineLevel="1" thickBot="1" x14ac:dyDescent="0.25">
      <c r="B27" s="39"/>
      <c r="C27" s="3" t="str">
        <f>CONCATENATE("*",'Accrual Count'!B1)</f>
        <v>*Study Site Identifier</v>
      </c>
      <c r="D27" s="40"/>
      <c r="E27" s="42"/>
      <c r="F27" s="42"/>
      <c r="G27" s="96"/>
      <c r="H27" s="42"/>
      <c r="J27" s="3" t="s">
        <v>51</v>
      </c>
    </row>
    <row r="28" spans="2:20" ht="17" hidden="1" outlineLevel="1" thickTop="1" thickBot="1" x14ac:dyDescent="0.25">
      <c r="B28" s="39"/>
      <c r="C28" s="3" t="str">
        <f>CONCATENATE("*",'Accrual Count'!C1)</f>
        <v>*Study Site Accrual Count</v>
      </c>
      <c r="D28" s="56"/>
      <c r="E28" s="42"/>
      <c r="F28" s="42"/>
      <c r="G28" s="96"/>
      <c r="H28" s="42"/>
      <c r="J28" s="3" t="s">
        <v>52</v>
      </c>
    </row>
    <row r="29" spans="2:20" ht="16" hidden="1" outlineLevel="1" thickTop="1" x14ac:dyDescent="0.2">
      <c r="B29" s="39"/>
      <c r="C29" s="57" t="s">
        <v>248</v>
      </c>
      <c r="D29" s="59"/>
      <c r="E29" s="42" t="s">
        <v>261</v>
      </c>
      <c r="F29" s="42"/>
      <c r="G29" s="41"/>
      <c r="J29" s="3" t="s">
        <v>53</v>
      </c>
    </row>
    <row r="30" spans="2:20" ht="16" hidden="1" customHeight="1" collapsed="1" x14ac:dyDescent="0.2">
      <c r="B30" s="97" t="s">
        <v>267</v>
      </c>
      <c r="C30" s="98"/>
      <c r="D30" s="98"/>
      <c r="E30" s="98"/>
      <c r="F30" s="98"/>
      <c r="G30" s="99"/>
      <c r="J30" s="3" t="s">
        <v>54</v>
      </c>
    </row>
    <row r="31" spans="2:20" hidden="1" x14ac:dyDescent="0.2">
      <c r="B31" s="100"/>
      <c r="C31" s="101"/>
      <c r="D31" s="101"/>
      <c r="E31" s="101"/>
      <c r="F31" s="101"/>
      <c r="G31" s="102"/>
      <c r="J31" s="3" t="s">
        <v>55</v>
      </c>
    </row>
    <row r="32" spans="2:20" hidden="1" x14ac:dyDescent="0.2">
      <c r="B32" s="100"/>
      <c r="C32" s="101"/>
      <c r="D32" s="101"/>
      <c r="E32" s="101"/>
      <c r="F32" s="101"/>
      <c r="G32" s="102"/>
      <c r="J32" s="3" t="s">
        <v>56</v>
      </c>
    </row>
    <row r="33" spans="2:10" hidden="1" x14ac:dyDescent="0.2">
      <c r="B33" s="100"/>
      <c r="C33" s="101"/>
      <c r="D33" s="101"/>
      <c r="E33" s="101"/>
      <c r="F33" s="101"/>
      <c r="G33" s="102"/>
      <c r="J33" s="3" t="s">
        <v>57</v>
      </c>
    </row>
    <row r="34" spans="2:10" hidden="1" x14ac:dyDescent="0.2">
      <c r="B34" s="100"/>
      <c r="C34" s="101"/>
      <c r="D34" s="101"/>
      <c r="E34" s="101"/>
      <c r="F34" s="101"/>
      <c r="G34" s="102"/>
      <c r="J34" s="3" t="s">
        <v>58</v>
      </c>
    </row>
    <row r="35" spans="2:10" hidden="1" x14ac:dyDescent="0.2">
      <c r="B35" s="100"/>
      <c r="C35" s="101"/>
      <c r="D35" s="101"/>
      <c r="E35" s="101"/>
      <c r="F35" s="101"/>
      <c r="G35" s="102"/>
      <c r="J35" s="3" t="s">
        <v>59</v>
      </c>
    </row>
    <row r="36" spans="2:10" hidden="1" x14ac:dyDescent="0.2">
      <c r="B36" s="100"/>
      <c r="C36" s="101"/>
      <c r="D36" s="101"/>
      <c r="E36" s="101"/>
      <c r="F36" s="101"/>
      <c r="G36" s="102"/>
      <c r="J36" s="3" t="s">
        <v>60</v>
      </c>
    </row>
    <row r="37" spans="2:10" hidden="1" x14ac:dyDescent="0.2">
      <c r="B37" s="100"/>
      <c r="C37" s="101"/>
      <c r="D37" s="101"/>
      <c r="E37" s="101"/>
      <c r="F37" s="101"/>
      <c r="G37" s="102"/>
      <c r="J37" s="3" t="s">
        <v>61</v>
      </c>
    </row>
    <row r="38" spans="2:10" hidden="1" x14ac:dyDescent="0.2">
      <c r="B38" s="100"/>
      <c r="C38" s="101"/>
      <c r="D38" s="101"/>
      <c r="E38" s="101"/>
      <c r="F38" s="101"/>
      <c r="G38" s="102"/>
      <c r="J38" s="3" t="s">
        <v>62</v>
      </c>
    </row>
    <row r="39" spans="2:10" hidden="1" x14ac:dyDescent="0.2">
      <c r="B39" s="100"/>
      <c r="C39" s="101"/>
      <c r="D39" s="101"/>
      <c r="E39" s="101"/>
      <c r="F39" s="101"/>
      <c r="G39" s="102"/>
      <c r="J39" s="3" t="s">
        <v>63</v>
      </c>
    </row>
    <row r="40" spans="2:10" hidden="1" x14ac:dyDescent="0.2">
      <c r="B40" s="100"/>
      <c r="C40" s="101"/>
      <c r="D40" s="101"/>
      <c r="E40" s="101"/>
      <c r="F40" s="101"/>
      <c r="G40" s="102"/>
      <c r="J40" s="3" t="s">
        <v>64</v>
      </c>
    </row>
    <row r="41" spans="2:10" hidden="1" x14ac:dyDescent="0.2">
      <c r="B41" s="100"/>
      <c r="C41" s="101"/>
      <c r="D41" s="101"/>
      <c r="E41" s="101"/>
      <c r="F41" s="101"/>
      <c r="G41" s="102"/>
      <c r="J41" s="3" t="s">
        <v>65</v>
      </c>
    </row>
    <row r="42" spans="2:10" hidden="1" x14ac:dyDescent="0.2">
      <c r="B42" s="100"/>
      <c r="C42" s="101"/>
      <c r="D42" s="101"/>
      <c r="E42" s="101"/>
      <c r="F42" s="101"/>
      <c r="G42" s="102"/>
      <c r="J42" s="3" t="s">
        <v>66</v>
      </c>
    </row>
    <row r="43" spans="2:10" hidden="1" x14ac:dyDescent="0.2">
      <c r="B43" s="100"/>
      <c r="C43" s="101"/>
      <c r="D43" s="101"/>
      <c r="E43" s="101"/>
      <c r="F43" s="101"/>
      <c r="G43" s="102"/>
      <c r="J43" s="3" t="s">
        <v>67</v>
      </c>
    </row>
    <row r="44" spans="2:10" hidden="1" x14ac:dyDescent="0.2">
      <c r="B44" s="100"/>
      <c r="C44" s="101"/>
      <c r="D44" s="101"/>
      <c r="E44" s="101"/>
      <c r="F44" s="101"/>
      <c r="G44" s="102"/>
      <c r="J44" s="3" t="s">
        <v>68</v>
      </c>
    </row>
    <row r="45" spans="2:10" hidden="1" x14ac:dyDescent="0.2">
      <c r="B45" s="100"/>
      <c r="C45" s="101"/>
      <c r="D45" s="101"/>
      <c r="E45" s="101"/>
      <c r="F45" s="101"/>
      <c r="G45" s="102"/>
      <c r="J45" s="3" t="s">
        <v>69</v>
      </c>
    </row>
    <row r="46" spans="2:10" hidden="1" x14ac:dyDescent="0.2">
      <c r="B46" s="100"/>
      <c r="C46" s="101"/>
      <c r="D46" s="101"/>
      <c r="E46" s="101"/>
      <c r="F46" s="101"/>
      <c r="G46" s="102"/>
      <c r="J46" s="3" t="s">
        <v>70</v>
      </c>
    </row>
    <row r="47" spans="2:10" hidden="1" x14ac:dyDescent="0.2">
      <c r="B47" s="100"/>
      <c r="C47" s="101"/>
      <c r="D47" s="101"/>
      <c r="E47" s="101"/>
      <c r="F47" s="101"/>
      <c r="G47" s="102"/>
      <c r="J47" s="3" t="s">
        <v>71</v>
      </c>
    </row>
    <row r="48" spans="2:10" hidden="1" x14ac:dyDescent="0.2">
      <c r="B48" s="100"/>
      <c r="C48" s="101"/>
      <c r="D48" s="101"/>
      <c r="E48" s="101"/>
      <c r="F48" s="101"/>
      <c r="G48" s="102"/>
      <c r="J48" s="3" t="s">
        <v>72</v>
      </c>
    </row>
    <row r="49" spans="2:10" hidden="1" x14ac:dyDescent="0.2">
      <c r="B49" s="100"/>
      <c r="C49" s="101"/>
      <c r="D49" s="101"/>
      <c r="E49" s="101"/>
      <c r="F49" s="101"/>
      <c r="G49" s="102"/>
      <c r="J49" s="3" t="s">
        <v>73</v>
      </c>
    </row>
    <row r="50" spans="2:10" hidden="1" x14ac:dyDescent="0.2">
      <c r="B50" s="100"/>
      <c r="C50" s="101"/>
      <c r="D50" s="101"/>
      <c r="E50" s="101"/>
      <c r="F50" s="101"/>
      <c r="G50" s="102"/>
      <c r="J50" s="3" t="s">
        <v>74</v>
      </c>
    </row>
    <row r="51" spans="2:10" hidden="1" x14ac:dyDescent="0.2">
      <c r="B51" s="100"/>
      <c r="C51" s="101"/>
      <c r="D51" s="101"/>
      <c r="E51" s="101"/>
      <c r="F51" s="101"/>
      <c r="G51" s="102"/>
      <c r="J51" s="3" t="s">
        <v>75</v>
      </c>
    </row>
    <row r="52" spans="2:10" hidden="1" x14ac:dyDescent="0.2">
      <c r="B52" s="100"/>
      <c r="C52" s="101"/>
      <c r="D52" s="101"/>
      <c r="E52" s="101"/>
      <c r="F52" s="101"/>
      <c r="G52" s="102"/>
      <c r="J52" s="3" t="s">
        <v>76</v>
      </c>
    </row>
    <row r="53" spans="2:10" hidden="1" x14ac:dyDescent="0.2">
      <c r="B53" s="100"/>
      <c r="C53" s="101"/>
      <c r="D53" s="101"/>
      <c r="E53" s="101"/>
      <c r="F53" s="101"/>
      <c r="G53" s="102"/>
      <c r="J53" s="3" t="s">
        <v>77</v>
      </c>
    </row>
    <row r="54" spans="2:10" hidden="1" x14ac:dyDescent="0.2">
      <c r="B54" s="100"/>
      <c r="C54" s="101"/>
      <c r="D54" s="101"/>
      <c r="E54" s="101"/>
      <c r="F54" s="101"/>
      <c r="G54" s="102"/>
      <c r="J54" s="3" t="s">
        <v>78</v>
      </c>
    </row>
    <row r="55" spans="2:10" hidden="1" x14ac:dyDescent="0.2">
      <c r="B55" s="100"/>
      <c r="C55" s="101"/>
      <c r="D55" s="101"/>
      <c r="E55" s="101"/>
      <c r="F55" s="101"/>
      <c r="G55" s="102"/>
      <c r="J55" s="3" t="s">
        <v>79</v>
      </c>
    </row>
    <row r="56" spans="2:10" ht="15" hidden="1" customHeight="1" x14ac:dyDescent="0.2">
      <c r="B56" s="103" t="s">
        <v>266</v>
      </c>
      <c r="C56" s="104"/>
      <c r="D56" s="104"/>
      <c r="E56" s="104"/>
      <c r="F56" s="104"/>
      <c r="G56" s="105"/>
      <c r="J56" s="3" t="s">
        <v>80</v>
      </c>
    </row>
    <row r="57" spans="2:10" hidden="1" x14ac:dyDescent="0.2">
      <c r="B57" s="103"/>
      <c r="C57" s="104"/>
      <c r="D57" s="104"/>
      <c r="E57" s="104"/>
      <c r="F57" s="104"/>
      <c r="G57" s="105"/>
      <c r="J57" s="3" t="s">
        <v>81</v>
      </c>
    </row>
    <row r="58" spans="2:10" ht="16" hidden="1" thickBot="1" x14ac:dyDescent="0.25">
      <c r="B58" s="106"/>
      <c r="C58" s="107"/>
      <c r="D58" s="107"/>
      <c r="E58" s="107"/>
      <c r="F58" s="107"/>
      <c r="G58" s="108"/>
      <c r="J58" s="3" t="s">
        <v>82</v>
      </c>
    </row>
    <row r="59" spans="2:10" ht="16" hidden="1" thickTop="1" x14ac:dyDescent="0.2">
      <c r="B59" s="63"/>
      <c r="C59" s="63"/>
      <c r="D59" s="63"/>
      <c r="E59" s="63"/>
      <c r="F59" s="63"/>
      <c r="G59" s="63"/>
      <c r="J59" s="3" t="s">
        <v>83</v>
      </c>
    </row>
    <row r="60" spans="2:10" ht="17" hidden="1" thickTop="1" x14ac:dyDescent="0.2">
      <c r="B60" s="48"/>
      <c r="C60" s="6"/>
      <c r="D60" s="65" t="s">
        <v>222</v>
      </c>
      <c r="E60" s="84" t="s">
        <v>260</v>
      </c>
      <c r="F60" s="85"/>
      <c r="G60" s="86"/>
      <c r="J60" s="3" t="s">
        <v>84</v>
      </c>
    </row>
    <row r="61" spans="2:10" ht="16" hidden="1" customHeight="1" thickBot="1" x14ac:dyDescent="0.25">
      <c r="B61" s="39"/>
      <c r="C61" s="3" t="str">
        <f>CONCATENATE("*",Patients!B1)</f>
        <v>*Study Subject ID</v>
      </c>
      <c r="D61" s="40"/>
      <c r="E61" s="87" t="s">
        <v>287</v>
      </c>
      <c r="F61" s="88"/>
      <c r="G61" s="89"/>
      <c r="J61" s="3" t="s">
        <v>85</v>
      </c>
    </row>
    <row r="62" spans="2:10" ht="17" hidden="1" thickTop="1" thickBot="1" x14ac:dyDescent="0.25">
      <c r="B62" s="39"/>
      <c r="C62" s="68" t="str">
        <f>Patients!C1</f>
        <v>Study Subject Zip Code</v>
      </c>
      <c r="D62" s="49"/>
      <c r="E62" s="90"/>
      <c r="F62" s="91"/>
      <c r="G62" s="92"/>
      <c r="J62" s="3" t="s">
        <v>86</v>
      </c>
    </row>
    <row r="63" spans="2:10" ht="17" hidden="1" thickTop="1" thickBot="1" x14ac:dyDescent="0.25">
      <c r="B63" s="39"/>
      <c r="C63" s="3" t="str">
        <f>Patients!D1</f>
        <v>Study Subject Country</v>
      </c>
      <c r="D63" s="40"/>
      <c r="E63" s="90"/>
      <c r="F63" s="91"/>
      <c r="G63" s="92"/>
      <c r="J63" s="3" t="s">
        <v>87</v>
      </c>
    </row>
    <row r="64" spans="2:10" ht="17" hidden="1" thickTop="1" thickBot="1" x14ac:dyDescent="0.25">
      <c r="B64" s="39"/>
      <c r="C64" s="3" t="str">
        <f>Patients!E1</f>
        <v>Study Subject Birth Date</v>
      </c>
      <c r="D64" s="50"/>
      <c r="E64" s="90"/>
      <c r="F64" s="91"/>
      <c r="G64" s="92"/>
      <c r="J64" s="3" t="s">
        <v>88</v>
      </c>
    </row>
    <row r="65" spans="2:10" ht="17" hidden="1" thickTop="1" thickBot="1" x14ac:dyDescent="0.25">
      <c r="B65" s="39"/>
      <c r="C65" s="3" t="str">
        <f>Patients!F1</f>
        <v>Study Subject Gender</v>
      </c>
      <c r="D65" s="40"/>
      <c r="E65" s="90"/>
      <c r="F65" s="91"/>
      <c r="G65" s="92"/>
      <c r="J65" s="3" t="s">
        <v>89</v>
      </c>
    </row>
    <row r="66" spans="2:10" ht="17" hidden="1" thickTop="1" thickBot="1" x14ac:dyDescent="0.25">
      <c r="B66" s="39"/>
      <c r="C66" s="3" t="str">
        <f>Patients!G1</f>
        <v>Study Subject Ethnicity</v>
      </c>
      <c r="D66" s="52"/>
      <c r="E66" s="90"/>
      <c r="F66" s="91"/>
      <c r="G66" s="92"/>
      <c r="J66" s="3" t="s">
        <v>90</v>
      </c>
    </row>
    <row r="67" spans="2:10" ht="17" hidden="1" thickTop="1" thickBot="1" x14ac:dyDescent="0.25">
      <c r="B67" s="39"/>
      <c r="C67" s="3" t="str">
        <f>Patients!H1</f>
        <v>Study Subject method of payment</v>
      </c>
      <c r="D67" s="51"/>
      <c r="E67" s="90"/>
      <c r="F67" s="91"/>
      <c r="G67" s="92"/>
      <c r="J67" s="3" t="s">
        <v>91</v>
      </c>
    </row>
    <row r="68" spans="2:10" ht="17" hidden="1" thickTop="1" thickBot="1" x14ac:dyDescent="0.25">
      <c r="B68" s="39"/>
      <c r="C68" s="3" t="str">
        <f>CONCATENATE("*",Patients!I1)</f>
        <v>*Registration Date</v>
      </c>
      <c r="D68" s="52"/>
      <c r="E68" s="90"/>
      <c r="F68" s="91"/>
      <c r="G68" s="92"/>
      <c r="J68" s="3" t="s">
        <v>92</v>
      </c>
    </row>
    <row r="69" spans="2:10" ht="17" hidden="1" thickTop="1" thickBot="1" x14ac:dyDescent="0.25">
      <c r="B69" s="39"/>
      <c r="C69" s="3" t="str">
        <f>Patients!J1</f>
        <v>Registering Group Identifier</v>
      </c>
      <c r="D69" s="40"/>
      <c r="E69" s="90"/>
      <c r="F69" s="91"/>
      <c r="G69" s="92"/>
      <c r="J69" s="3" t="s">
        <v>93</v>
      </c>
    </row>
    <row r="70" spans="2:10" ht="17" hidden="1" thickTop="1" thickBot="1" x14ac:dyDescent="0.25">
      <c r="B70" s="39"/>
      <c r="C70" s="3" t="str">
        <f>CONCATENATE("*",Patients!K1)</f>
        <v>*Study Site Identifier</v>
      </c>
      <c r="D70" s="40"/>
      <c r="E70" s="90"/>
      <c r="F70" s="91"/>
      <c r="G70" s="92"/>
      <c r="J70" s="3" t="s">
        <v>94</v>
      </c>
    </row>
    <row r="71" spans="2:10" ht="17" hidden="1" thickTop="1" thickBot="1" x14ac:dyDescent="0.25">
      <c r="B71" s="39"/>
      <c r="C71" s="3" t="str">
        <f>Patients!L1</f>
        <v>Subject Disease Code</v>
      </c>
      <c r="D71" s="40"/>
      <c r="E71" s="90"/>
      <c r="F71" s="91"/>
      <c r="G71" s="92"/>
      <c r="J71" s="3" t="s">
        <v>95</v>
      </c>
    </row>
    <row r="72" spans="2:10" ht="17" hidden="1" thickTop="1" thickBot="1" x14ac:dyDescent="0.25">
      <c r="B72" s="39"/>
      <c r="C72" s="3" t="str">
        <f>Races!C1</f>
        <v>Race</v>
      </c>
      <c r="D72" s="51"/>
      <c r="E72" s="90"/>
      <c r="F72" s="91"/>
      <c r="G72" s="92"/>
      <c r="J72" s="3" t="s">
        <v>96</v>
      </c>
    </row>
    <row r="73" spans="2:10" ht="17" hidden="1" thickTop="1" thickBot="1" x14ac:dyDescent="0.25">
      <c r="B73" s="39"/>
      <c r="C73" s="3" t="str">
        <f>Races!C1</f>
        <v>Race</v>
      </c>
      <c r="D73" s="51"/>
      <c r="E73" s="93"/>
      <c r="F73" s="94"/>
      <c r="G73" s="95"/>
      <c r="J73" s="3" t="s">
        <v>97</v>
      </c>
    </row>
    <row r="74" spans="2:10" ht="17" hidden="1" thickTop="1" thickBot="1" x14ac:dyDescent="0.25">
      <c r="B74" s="39"/>
      <c r="C74" s="3" t="str">
        <f>Races!C1</f>
        <v>Race</v>
      </c>
      <c r="D74" s="51"/>
      <c r="E74" s="75"/>
      <c r="F74" s="76"/>
      <c r="G74" s="77"/>
      <c r="J74" s="3" t="s">
        <v>98</v>
      </c>
    </row>
    <row r="75" spans="2:10" ht="17" hidden="1" thickTop="1" thickBot="1" x14ac:dyDescent="0.25">
      <c r="B75" s="39"/>
      <c r="C75" s="3" t="str">
        <f>Races!C1</f>
        <v>Race</v>
      </c>
      <c r="D75" s="51"/>
      <c r="E75" s="75"/>
      <c r="F75" s="76"/>
      <c r="G75" s="77"/>
      <c r="J75" s="3" t="s">
        <v>99</v>
      </c>
    </row>
    <row r="76" spans="2:10" ht="17" hidden="1" thickTop="1" thickBot="1" x14ac:dyDescent="0.25">
      <c r="B76" s="43"/>
      <c r="C76" s="5"/>
      <c r="D76" s="53"/>
      <c r="E76" s="78"/>
      <c r="F76" s="79"/>
      <c r="G76" s="80"/>
      <c r="J76" s="3" t="s">
        <v>100</v>
      </c>
    </row>
    <row r="77" spans="2:10" ht="16" hidden="1" thickTop="1" x14ac:dyDescent="0.2">
      <c r="J77" s="3" t="s">
        <v>101</v>
      </c>
    </row>
    <row r="78" spans="2:10" x14ac:dyDescent="0.2">
      <c r="J78" s="3" t="s">
        <v>102</v>
      </c>
    </row>
    <row r="79" spans="2:10" x14ac:dyDescent="0.2">
      <c r="J79" s="3" t="s">
        <v>103</v>
      </c>
    </row>
    <row r="80" spans="2:10" x14ac:dyDescent="0.2">
      <c r="J80" s="3" t="s">
        <v>104</v>
      </c>
    </row>
    <row r="81" spans="10:10" x14ac:dyDescent="0.2">
      <c r="J81" s="3" t="s">
        <v>105</v>
      </c>
    </row>
    <row r="82" spans="10:10" x14ac:dyDescent="0.2">
      <c r="J82" s="3" t="s">
        <v>106</v>
      </c>
    </row>
    <row r="83" spans="10:10" x14ac:dyDescent="0.2">
      <c r="J83" s="3" t="s">
        <v>107</v>
      </c>
    </row>
    <row r="84" spans="10:10" x14ac:dyDescent="0.2">
      <c r="J84" s="3" t="s">
        <v>108</v>
      </c>
    </row>
    <row r="85" spans="10:10" x14ac:dyDescent="0.2">
      <c r="J85" s="3" t="s">
        <v>109</v>
      </c>
    </row>
    <row r="86" spans="10:10" x14ac:dyDescent="0.2">
      <c r="J86" s="3" t="s">
        <v>110</v>
      </c>
    </row>
    <row r="87" spans="10:10" x14ac:dyDescent="0.2">
      <c r="J87" s="3" t="s">
        <v>111</v>
      </c>
    </row>
    <row r="88" spans="10:10" x14ac:dyDescent="0.2">
      <c r="J88" s="3" t="s">
        <v>112</v>
      </c>
    </row>
    <row r="89" spans="10:10" x14ac:dyDescent="0.2">
      <c r="J89" s="3" t="s">
        <v>113</v>
      </c>
    </row>
    <row r="90" spans="10:10" x14ac:dyDescent="0.2">
      <c r="J90" s="3" t="s">
        <v>114</v>
      </c>
    </row>
    <row r="91" spans="10:10" x14ac:dyDescent="0.2">
      <c r="J91" s="3" t="s">
        <v>115</v>
      </c>
    </row>
    <row r="92" spans="10:10" x14ac:dyDescent="0.2">
      <c r="J92" s="3" t="s">
        <v>116</v>
      </c>
    </row>
    <row r="93" spans="10:10" x14ac:dyDescent="0.2">
      <c r="J93" s="3" t="s">
        <v>117</v>
      </c>
    </row>
    <row r="94" spans="10:10" x14ac:dyDescent="0.2">
      <c r="J94" s="3" t="s">
        <v>118</v>
      </c>
    </row>
    <row r="95" spans="10:10" x14ac:dyDescent="0.2">
      <c r="J95" s="3" t="s">
        <v>119</v>
      </c>
    </row>
    <row r="96" spans="10:10" x14ac:dyDescent="0.2">
      <c r="J96" s="3" t="s">
        <v>120</v>
      </c>
    </row>
    <row r="97" spans="10:10" x14ac:dyDescent="0.2">
      <c r="J97" s="3" t="s">
        <v>121</v>
      </c>
    </row>
    <row r="98" spans="10:10" x14ac:dyDescent="0.2">
      <c r="J98" s="3" t="s">
        <v>122</v>
      </c>
    </row>
    <row r="99" spans="10:10" x14ac:dyDescent="0.2">
      <c r="J99" s="3" t="s">
        <v>123</v>
      </c>
    </row>
    <row r="100" spans="10:10" x14ac:dyDescent="0.2">
      <c r="J100" s="3" t="s">
        <v>124</v>
      </c>
    </row>
    <row r="101" spans="10:10" x14ac:dyDescent="0.2">
      <c r="J101" s="3" t="s">
        <v>125</v>
      </c>
    </row>
    <row r="102" spans="10:10" x14ac:dyDescent="0.2">
      <c r="J102" s="3" t="s">
        <v>126</v>
      </c>
    </row>
    <row r="103" spans="10:10" x14ac:dyDescent="0.2">
      <c r="J103" s="3" t="s">
        <v>127</v>
      </c>
    </row>
    <row r="104" spans="10:10" x14ac:dyDescent="0.2">
      <c r="J104" s="3" t="s">
        <v>128</v>
      </c>
    </row>
    <row r="105" spans="10:10" x14ac:dyDescent="0.2">
      <c r="J105" s="3" t="s">
        <v>129</v>
      </c>
    </row>
    <row r="106" spans="10:10" x14ac:dyDescent="0.2">
      <c r="J106" s="3" t="s">
        <v>130</v>
      </c>
    </row>
    <row r="107" spans="10:10" x14ac:dyDescent="0.2">
      <c r="J107" s="3" t="s">
        <v>131</v>
      </c>
    </row>
    <row r="108" spans="10:10" x14ac:dyDescent="0.2">
      <c r="J108" s="3" t="s">
        <v>132</v>
      </c>
    </row>
    <row r="109" spans="10:10" x14ac:dyDescent="0.2">
      <c r="J109" s="3" t="s">
        <v>133</v>
      </c>
    </row>
    <row r="110" spans="10:10" x14ac:dyDescent="0.2">
      <c r="J110" s="3" t="s">
        <v>134</v>
      </c>
    </row>
    <row r="111" spans="10:10" x14ac:dyDescent="0.2">
      <c r="J111" s="3" t="s">
        <v>135</v>
      </c>
    </row>
    <row r="112" spans="10:10" x14ac:dyDescent="0.2">
      <c r="J112" s="3" t="s">
        <v>136</v>
      </c>
    </row>
    <row r="113" spans="10:10" x14ac:dyDescent="0.2">
      <c r="J113" s="3" t="s">
        <v>137</v>
      </c>
    </row>
    <row r="114" spans="10:10" x14ac:dyDescent="0.2">
      <c r="J114" s="3" t="s">
        <v>138</v>
      </c>
    </row>
    <row r="115" spans="10:10" x14ac:dyDescent="0.2">
      <c r="J115" s="3" t="s">
        <v>139</v>
      </c>
    </row>
    <row r="116" spans="10:10" x14ac:dyDescent="0.2">
      <c r="J116" s="3" t="s">
        <v>140</v>
      </c>
    </row>
    <row r="117" spans="10:10" x14ac:dyDescent="0.2">
      <c r="J117" s="3" t="s">
        <v>141</v>
      </c>
    </row>
    <row r="118" spans="10:10" x14ac:dyDescent="0.2">
      <c r="J118" s="3" t="s">
        <v>142</v>
      </c>
    </row>
    <row r="119" spans="10:10" x14ac:dyDescent="0.2">
      <c r="J119" s="3" t="s">
        <v>143</v>
      </c>
    </row>
    <row r="120" spans="10:10" x14ac:dyDescent="0.2">
      <c r="J120" s="3" t="s">
        <v>144</v>
      </c>
    </row>
    <row r="121" spans="10:10" x14ac:dyDescent="0.2">
      <c r="J121" s="3" t="s">
        <v>145</v>
      </c>
    </row>
    <row r="122" spans="10:10" x14ac:dyDescent="0.2">
      <c r="J122" s="3" t="s">
        <v>146</v>
      </c>
    </row>
    <row r="123" spans="10:10" x14ac:dyDescent="0.2">
      <c r="J123" s="3" t="s">
        <v>147</v>
      </c>
    </row>
    <row r="124" spans="10:10" x14ac:dyDescent="0.2">
      <c r="J124" s="3" t="s">
        <v>148</v>
      </c>
    </row>
    <row r="125" spans="10:10" x14ac:dyDescent="0.2">
      <c r="J125" s="3" t="s">
        <v>149</v>
      </c>
    </row>
    <row r="126" spans="10:10" x14ac:dyDescent="0.2">
      <c r="J126" s="3" t="s">
        <v>150</v>
      </c>
    </row>
    <row r="127" spans="10:10" x14ac:dyDescent="0.2">
      <c r="J127" s="3" t="s">
        <v>151</v>
      </c>
    </row>
    <row r="128" spans="10:10" x14ac:dyDescent="0.2">
      <c r="J128" s="3" t="s">
        <v>152</v>
      </c>
    </row>
    <row r="129" spans="10:10" x14ac:dyDescent="0.2">
      <c r="J129" s="3" t="s">
        <v>153</v>
      </c>
    </row>
    <row r="130" spans="10:10" x14ac:dyDescent="0.2">
      <c r="J130" s="3" t="s">
        <v>154</v>
      </c>
    </row>
    <row r="131" spans="10:10" x14ac:dyDescent="0.2">
      <c r="J131" s="3" t="s">
        <v>155</v>
      </c>
    </row>
    <row r="132" spans="10:10" x14ac:dyDescent="0.2">
      <c r="J132" s="3" t="s">
        <v>156</v>
      </c>
    </row>
    <row r="133" spans="10:10" x14ac:dyDescent="0.2">
      <c r="J133" s="3" t="s">
        <v>157</v>
      </c>
    </row>
    <row r="134" spans="10:10" x14ac:dyDescent="0.2">
      <c r="J134" s="3" t="s">
        <v>158</v>
      </c>
    </row>
    <row r="135" spans="10:10" x14ac:dyDescent="0.2">
      <c r="J135" s="3" t="s">
        <v>159</v>
      </c>
    </row>
    <row r="136" spans="10:10" x14ac:dyDescent="0.2">
      <c r="J136" s="3" t="s">
        <v>160</v>
      </c>
    </row>
    <row r="137" spans="10:10" x14ac:dyDescent="0.2">
      <c r="J137" s="3" t="s">
        <v>161</v>
      </c>
    </row>
    <row r="138" spans="10:10" x14ac:dyDescent="0.2">
      <c r="J138" s="3" t="s">
        <v>162</v>
      </c>
    </row>
    <row r="139" spans="10:10" x14ac:dyDescent="0.2">
      <c r="J139" s="3" t="s">
        <v>163</v>
      </c>
    </row>
    <row r="140" spans="10:10" x14ac:dyDescent="0.2">
      <c r="J140" s="3" t="s">
        <v>164</v>
      </c>
    </row>
    <row r="141" spans="10:10" x14ac:dyDescent="0.2">
      <c r="J141" s="3" t="s">
        <v>165</v>
      </c>
    </row>
    <row r="142" spans="10:10" x14ac:dyDescent="0.2">
      <c r="J142" s="3" t="s">
        <v>166</v>
      </c>
    </row>
    <row r="143" spans="10:10" x14ac:dyDescent="0.2">
      <c r="J143" s="3" t="s">
        <v>167</v>
      </c>
    </row>
    <row r="144" spans="10:10" x14ac:dyDescent="0.2">
      <c r="J144" s="3" t="s">
        <v>168</v>
      </c>
    </row>
    <row r="145" spans="10:10" x14ac:dyDescent="0.2">
      <c r="J145" s="3" t="s">
        <v>169</v>
      </c>
    </row>
    <row r="146" spans="10:10" x14ac:dyDescent="0.2">
      <c r="J146" s="3" t="s">
        <v>170</v>
      </c>
    </row>
    <row r="147" spans="10:10" x14ac:dyDescent="0.2">
      <c r="J147" s="3" t="s">
        <v>171</v>
      </c>
    </row>
    <row r="148" spans="10:10" x14ac:dyDescent="0.2">
      <c r="J148" s="3" t="s">
        <v>172</v>
      </c>
    </row>
    <row r="149" spans="10:10" x14ac:dyDescent="0.2">
      <c r="J149" s="3" t="s">
        <v>173</v>
      </c>
    </row>
    <row r="150" spans="10:10" x14ac:dyDescent="0.2">
      <c r="J150" s="3" t="s">
        <v>174</v>
      </c>
    </row>
    <row r="151" spans="10:10" x14ac:dyDescent="0.2">
      <c r="J151" s="3" t="s">
        <v>175</v>
      </c>
    </row>
    <row r="152" spans="10:10" x14ac:dyDescent="0.2">
      <c r="J152" s="3" t="s">
        <v>176</v>
      </c>
    </row>
    <row r="153" spans="10:10" x14ac:dyDescent="0.2">
      <c r="J153" s="3" t="s">
        <v>177</v>
      </c>
    </row>
    <row r="154" spans="10:10" x14ac:dyDescent="0.2">
      <c r="J154" s="3" t="s">
        <v>178</v>
      </c>
    </row>
    <row r="155" spans="10:10" x14ac:dyDescent="0.2">
      <c r="J155" s="3" t="s">
        <v>179</v>
      </c>
    </row>
    <row r="156" spans="10:10" x14ac:dyDescent="0.2">
      <c r="J156" s="3" t="s">
        <v>180</v>
      </c>
    </row>
    <row r="157" spans="10:10" x14ac:dyDescent="0.2">
      <c r="J157" s="3" t="s">
        <v>181</v>
      </c>
    </row>
    <row r="158" spans="10:10" x14ac:dyDescent="0.2">
      <c r="J158" s="3" t="s">
        <v>182</v>
      </c>
    </row>
    <row r="159" spans="10:10" x14ac:dyDescent="0.2">
      <c r="J159" s="3" t="s">
        <v>183</v>
      </c>
    </row>
    <row r="160" spans="10:10" x14ac:dyDescent="0.2">
      <c r="J160" s="3" t="s">
        <v>184</v>
      </c>
    </row>
    <row r="161" spans="10:10" x14ac:dyDescent="0.2">
      <c r="J161" s="3" t="s">
        <v>185</v>
      </c>
    </row>
    <row r="162" spans="10:10" x14ac:dyDescent="0.2">
      <c r="J162" s="3" t="s">
        <v>186</v>
      </c>
    </row>
    <row r="163" spans="10:10" x14ac:dyDescent="0.2">
      <c r="J163" s="3" t="s">
        <v>187</v>
      </c>
    </row>
    <row r="164" spans="10:10" x14ac:dyDescent="0.2">
      <c r="J164" s="3" t="s">
        <v>188</v>
      </c>
    </row>
    <row r="165" spans="10:10" x14ac:dyDescent="0.2">
      <c r="J165" s="3" t="s">
        <v>189</v>
      </c>
    </row>
    <row r="166" spans="10:10" x14ac:dyDescent="0.2">
      <c r="J166" s="3" t="s">
        <v>190</v>
      </c>
    </row>
    <row r="167" spans="10:10" x14ac:dyDescent="0.2">
      <c r="J167" s="3" t="s">
        <v>191</v>
      </c>
    </row>
    <row r="168" spans="10:10" x14ac:dyDescent="0.2">
      <c r="J168" s="3" t="s">
        <v>237</v>
      </c>
    </row>
    <row r="169" spans="10:10" x14ac:dyDescent="0.2">
      <c r="J169" s="3" t="s">
        <v>238</v>
      </c>
    </row>
    <row r="170" spans="10:10" x14ac:dyDescent="0.2">
      <c r="J170" s="3" t="s">
        <v>239</v>
      </c>
    </row>
    <row r="171" spans="10:10" x14ac:dyDescent="0.2">
      <c r="J171" s="3" t="s">
        <v>240</v>
      </c>
    </row>
    <row r="172" spans="10:10" x14ac:dyDescent="0.2">
      <c r="J172" s="3" t="s">
        <v>241</v>
      </c>
    </row>
    <row r="173" spans="10:10" x14ac:dyDescent="0.2">
      <c r="J173" s="3" t="s">
        <v>242</v>
      </c>
    </row>
    <row r="174" spans="10:10" x14ac:dyDescent="0.2">
      <c r="J174" s="3" t="s">
        <v>243</v>
      </c>
    </row>
    <row r="175" spans="10:10" x14ac:dyDescent="0.2">
      <c r="J175" s="3" t="s">
        <v>244</v>
      </c>
    </row>
    <row r="176" spans="10:10" x14ac:dyDescent="0.2">
      <c r="J176" s="3" t="s">
        <v>236</v>
      </c>
    </row>
    <row r="177" spans="10:10" x14ac:dyDescent="0.2">
      <c r="J177" s="3" t="s">
        <v>245</v>
      </c>
    </row>
    <row r="178" spans="10:10" x14ac:dyDescent="0.2">
      <c r="J178" s="3" t="s">
        <v>192</v>
      </c>
    </row>
    <row r="179" spans="10:10" x14ac:dyDescent="0.2">
      <c r="J179" s="3" t="s">
        <v>193</v>
      </c>
    </row>
    <row r="180" spans="10:10" x14ac:dyDescent="0.2">
      <c r="J180" s="3" t="s">
        <v>194</v>
      </c>
    </row>
    <row r="181" spans="10:10" x14ac:dyDescent="0.2">
      <c r="J181" s="3" t="s">
        <v>195</v>
      </c>
    </row>
    <row r="182" spans="10:10" x14ac:dyDescent="0.2">
      <c r="J182" s="3" t="s">
        <v>196</v>
      </c>
    </row>
    <row r="183" spans="10:10" x14ac:dyDescent="0.2">
      <c r="J183" s="58"/>
    </row>
    <row r="184" spans="10:10" x14ac:dyDescent="0.2">
      <c r="J184" s="58"/>
    </row>
    <row r="185" spans="10:10" x14ac:dyDescent="0.2">
      <c r="J185" s="58"/>
    </row>
    <row r="186" spans="10:10" x14ac:dyDescent="0.2">
      <c r="J186" s="58"/>
    </row>
    <row r="187" spans="10:10" x14ac:dyDescent="0.2">
      <c r="J187" s="58"/>
    </row>
    <row r="188" spans="10:10" x14ac:dyDescent="0.2">
      <c r="J188" s="58"/>
    </row>
    <row r="189" spans="10:10" x14ac:dyDescent="0.2">
      <c r="J189" s="58"/>
    </row>
    <row r="190" spans="10:10" x14ac:dyDescent="0.2">
      <c r="J190" s="58"/>
    </row>
    <row r="191" spans="10:10" x14ac:dyDescent="0.2">
      <c r="J191" s="58"/>
    </row>
  </sheetData>
  <mergeCells count="10">
    <mergeCell ref="E74:G76"/>
    <mergeCell ref="B2:G2"/>
    <mergeCell ref="E8:G8"/>
    <mergeCell ref="E9:G21"/>
    <mergeCell ref="E22:G24"/>
    <mergeCell ref="G27:G28"/>
    <mergeCell ref="E60:G60"/>
    <mergeCell ref="E61:G73"/>
    <mergeCell ref="B30:G55"/>
    <mergeCell ref="B56:G58"/>
  </mergeCells>
  <dataValidations count="7">
    <dataValidation type="list" showErrorMessage="1" errorTitle="Invalid data" error="Enter valid data" sqref="D13 D65" xr:uid="{00000000-0002-0000-0100-000000000000}">
      <formula1>$K$7:$K$11</formula1>
    </dataValidation>
    <dataValidation type="list" showInputMessage="1" showErrorMessage="1" errorTitle="Invalid data" error="Enter valid data" sqref="D14 D66" xr:uid="{00000000-0002-0000-0100-000001000000}">
      <formula1>$L$7:$L$10</formula1>
    </dataValidation>
    <dataValidation type="list" allowBlank="1" showInputMessage="1" showErrorMessage="1" errorTitle="Invalid data" error="Enter valid data" sqref="D15 D67" xr:uid="{00000000-0002-0000-0100-000003000000}">
      <formula1>$M$7:$M$20</formula1>
    </dataValidation>
    <dataValidation type="list" allowBlank="1" showInputMessage="1" showErrorMessage="1" errorTitle="Invalid data" error="Enter valid data" sqref="D20:D24 D72:D76"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3 D11" xr:uid="{00000000-0002-0000-0100-000002000000}">
      <formula1>$J$7:$J$182</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0" location="Patients!B15" display="Patients!B15" xr:uid="{00000000-0004-0000-0100-00000D000000}"/>
    <hyperlink ref="C21:C23" location="Patients!B15" display="Patients!B15" xr:uid="{00000000-0004-0000-0100-00000E000000}"/>
    <hyperlink ref="C28" location="Patients!B16" display="Patients!B16" xr:uid="{00000000-0004-0000-0100-00000F000000}"/>
    <hyperlink ref="C27" location="Patients!B13" display="Patients!B13" xr:uid="{00000000-0004-0000-0100-000010000000}"/>
    <hyperlink ref="B56" r:id="rId1" xr:uid="{8402E9BE-7A94-AE41-A348-3077B4F2DA5E}"/>
    <hyperlink ref="C61" location="Patients!B4" display="Patients!B4" xr:uid="{23468E94-84AA-B141-81A7-BCC88ECA130E}"/>
    <hyperlink ref="C62" location="Patients!B5" display="Patients!B5" xr:uid="{BF758557-A1E3-1745-888A-C66C04C5A368}"/>
    <hyperlink ref="C63" location="Patients!B6" display="Patients!B6" xr:uid="{05F3B2BF-80E4-274B-9B80-D8DB22EA6850}"/>
    <hyperlink ref="C64" location="Patients!B7" display="Patients!B7" xr:uid="{69FE6784-CD4F-2E48-888F-27754F5F3049}"/>
    <hyperlink ref="C65" location="Patients!B8" display="Patients!B8" xr:uid="{E09A41B3-A4E3-2749-A22B-EAEA55965794}"/>
    <hyperlink ref="C66" location="Patients!B9" display="Patients!B9" xr:uid="{768F49B1-080D-834E-B65D-495CD935EDB8}"/>
    <hyperlink ref="C67" location="Patients!B10" display="Patients!B10" xr:uid="{57BD41D1-51C2-4446-8074-92DEDC0ED9FB}"/>
    <hyperlink ref="C68" location="Patients!B11" display="Patients!B11" xr:uid="{B540CB50-E777-4A4B-82DD-582C077FD958}"/>
    <hyperlink ref="C69" location="Patients!B12" display="Patients!B12" xr:uid="{1C5784A9-5BC8-2E46-8C62-8FB567EE45DC}"/>
    <hyperlink ref="C70" location="Patients!B13" display="Patients!B13" xr:uid="{5CE1D3E6-CFC0-C340-8B8A-77A7B99D450B}"/>
    <hyperlink ref="C71" location="Patients!B14" display="Patients!B14" xr:uid="{81BE37D1-0160-C148-AAFE-0C2D890B6AC0}"/>
    <hyperlink ref="C72" location="Patients!B15" display="Patients!B15" xr:uid="{68BBE516-34FB-FF41-ADBE-EF2EF78E8415}"/>
    <hyperlink ref="C73" location="Patients!B15" display="Patients!B15" xr:uid="{6C1B7321-8377-9F44-A705-07379CE0D3BF}"/>
    <hyperlink ref="C74:C75"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
  <sheetViews>
    <sheetView zoomScaleNormal="100"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7" bestFit="1" customWidth="1"/>
    <col min="3" max="3" width="13" style="8" customWidth="1"/>
    <col min="4" max="4" width="10.33203125" bestFit="1" customWidth="1"/>
    <col min="5" max="5" width="13.5" style="18" bestFit="1" customWidth="1"/>
    <col min="6" max="6" width="11.5" bestFit="1" customWidth="1"/>
    <col min="7" max="7" width="20.5" bestFit="1" customWidth="1"/>
    <col min="8" max="8" width="46.83203125" bestFit="1" customWidth="1"/>
    <col min="9" max="9" width="19" style="20" bestFit="1" customWidth="1"/>
    <col min="10" max="10" width="17.33203125" bestFit="1" customWidth="1"/>
    <col min="11" max="11" width="12.6640625" bestFit="1" customWidth="1"/>
    <col min="12" max="12" width="19" bestFit="1" customWidth="1"/>
  </cols>
  <sheetData>
    <row r="1" spans="1:12" s="2" customFormat="1" ht="48" x14ac:dyDescent="0.2">
      <c r="A1" s="2" t="s">
        <v>0</v>
      </c>
      <c r="B1" s="2" t="s">
        <v>282</v>
      </c>
      <c r="C1" s="9" t="s">
        <v>288</v>
      </c>
      <c r="D1" s="2" t="s">
        <v>289</v>
      </c>
      <c r="E1" s="17" t="s">
        <v>292</v>
      </c>
      <c r="F1" s="2" t="s">
        <v>283</v>
      </c>
      <c r="G1" s="2" t="s">
        <v>284</v>
      </c>
      <c r="H1" s="2" t="s">
        <v>285</v>
      </c>
      <c r="I1" s="19" t="s">
        <v>286</v>
      </c>
      <c r="J1" s="2" t="s">
        <v>1</v>
      </c>
      <c r="K1" s="2" t="s">
        <v>2</v>
      </c>
      <c r="L1" s="2" t="s">
        <v>3</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282</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style="29" bestFit="1" customWidth="1"/>
    <col min="3" max="3" width="22.83203125" bestFit="1" customWidth="1"/>
    <col min="4" max="4" width="8.83203125" style="20"/>
  </cols>
  <sheetData>
    <row r="1" spans="1:4" s="1" customFormat="1" x14ac:dyDescent="0.2">
      <c r="A1" s="1" t="s">
        <v>0</v>
      </c>
      <c r="B1" s="28" t="s">
        <v>2</v>
      </c>
      <c r="C1" s="1" t="s">
        <v>6</v>
      </c>
      <c r="D1" s="36" t="s">
        <v>248</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J3" sqref="J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3" activePane="bottomRight" state="frozen"/>
      <selection pane="topRight" activeCell="B1" sqref="B1"/>
      <selection pane="bottomLeft" activeCell="A2" sqref="A2"/>
      <selection pane="bottomRight" activeCell="D8" sqref="D8"/>
    </sheetView>
  </sheetViews>
  <sheetFormatPr baseColWidth="10" defaultColWidth="8.83203125" defaultRowHeight="15" x14ac:dyDescent="0.2"/>
  <cols>
    <col min="1" max="1" width="26.33203125" bestFit="1" customWidth="1"/>
    <col min="2" max="2" width="46" style="24" customWidth="1"/>
    <col min="3" max="3" width="13.5" customWidth="1"/>
    <col min="5" max="5" width="11.83203125" customWidth="1"/>
  </cols>
  <sheetData>
    <row r="1" spans="1:5" x14ac:dyDescent="0.2">
      <c r="C1" s="109" t="s">
        <v>277</v>
      </c>
      <c r="D1" s="109"/>
      <c r="E1" s="109"/>
    </row>
    <row r="2" spans="1:5" s="1" customFormat="1" ht="16" x14ac:dyDescent="0.2">
      <c r="A2" s="1" t="s">
        <v>210</v>
      </c>
      <c r="B2" s="23" t="s">
        <v>211</v>
      </c>
      <c r="C2" s="1" t="s">
        <v>271</v>
      </c>
      <c r="D2" s="1" t="s">
        <v>272</v>
      </c>
      <c r="E2" s="1" t="s">
        <v>275</v>
      </c>
    </row>
    <row r="3" spans="1:5" ht="16" x14ac:dyDescent="0.2">
      <c r="A3" t="s">
        <v>0</v>
      </c>
      <c r="B3" s="21" t="s">
        <v>212</v>
      </c>
      <c r="C3" t="s">
        <v>273</v>
      </c>
      <c r="D3" t="s">
        <v>273</v>
      </c>
      <c r="E3" t="s">
        <v>273</v>
      </c>
    </row>
    <row r="4" spans="1:5" ht="16" x14ac:dyDescent="0.2">
      <c r="A4" t="s">
        <v>4</v>
      </c>
      <c r="B4" s="21" t="s">
        <v>213</v>
      </c>
    </row>
    <row r="5" spans="1:5" ht="32" x14ac:dyDescent="0.2">
      <c r="A5" t="s">
        <v>282</v>
      </c>
      <c r="B5" s="21" t="s">
        <v>216</v>
      </c>
      <c r="C5" t="s">
        <v>273</v>
      </c>
      <c r="D5" t="s">
        <v>273</v>
      </c>
    </row>
    <row r="6" spans="1:5" ht="112" x14ac:dyDescent="0.2">
      <c r="A6" t="s">
        <v>288</v>
      </c>
      <c r="B6" s="21" t="s">
        <v>270</v>
      </c>
      <c r="C6" t="s">
        <v>274</v>
      </c>
    </row>
    <row r="7" spans="1:5" ht="32" x14ac:dyDescent="0.2">
      <c r="A7" t="s">
        <v>289</v>
      </c>
      <c r="B7" s="21" t="s">
        <v>276</v>
      </c>
      <c r="C7" t="s">
        <v>273</v>
      </c>
    </row>
    <row r="8" spans="1:5" ht="48" x14ac:dyDescent="0.2">
      <c r="A8" t="s">
        <v>290</v>
      </c>
      <c r="B8" s="21" t="s">
        <v>294</v>
      </c>
      <c r="C8" t="s">
        <v>273</v>
      </c>
    </row>
    <row r="9" spans="1:5" ht="48" x14ac:dyDescent="0.2">
      <c r="A9" t="s">
        <v>283</v>
      </c>
      <c r="B9" s="21" t="s">
        <v>218</v>
      </c>
      <c r="C9" t="s">
        <v>273</v>
      </c>
    </row>
    <row r="10" spans="1:5" ht="32" x14ac:dyDescent="0.2">
      <c r="A10" t="s">
        <v>284</v>
      </c>
      <c r="B10" s="21" t="s">
        <v>219</v>
      </c>
      <c r="C10" t="s">
        <v>273</v>
      </c>
    </row>
    <row r="11" spans="1:5" ht="80" x14ac:dyDescent="0.2">
      <c r="A11" t="s">
        <v>285</v>
      </c>
      <c r="B11" s="21" t="s">
        <v>281</v>
      </c>
    </row>
    <row r="12" spans="1:5" ht="16" x14ac:dyDescent="0.2">
      <c r="A12" t="s">
        <v>286</v>
      </c>
      <c r="B12" s="21" t="s">
        <v>279</v>
      </c>
      <c r="C12" t="s">
        <v>273</v>
      </c>
      <c r="D12" t="s">
        <v>273</v>
      </c>
    </row>
    <row r="13" spans="1:5" ht="32" x14ac:dyDescent="0.2">
      <c r="A13" t="s">
        <v>1</v>
      </c>
      <c r="B13" s="21" t="s">
        <v>217</v>
      </c>
    </row>
    <row r="14" spans="1:5" ht="32" x14ac:dyDescent="0.2">
      <c r="A14" t="s">
        <v>2</v>
      </c>
      <c r="B14" s="21" t="s">
        <v>215</v>
      </c>
      <c r="C14" t="s">
        <v>273</v>
      </c>
      <c r="D14" t="s">
        <v>273</v>
      </c>
      <c r="E14" t="s">
        <v>273</v>
      </c>
    </row>
    <row r="15" spans="1:5" ht="16" x14ac:dyDescent="0.2">
      <c r="A15" t="s">
        <v>3</v>
      </c>
      <c r="B15" s="21" t="s">
        <v>278</v>
      </c>
      <c r="C15" t="s">
        <v>273</v>
      </c>
    </row>
    <row r="16" spans="1:5" ht="32" x14ac:dyDescent="0.2">
      <c r="A16" t="s">
        <v>291</v>
      </c>
      <c r="B16" s="21" t="s">
        <v>280</v>
      </c>
      <c r="C16" t="s">
        <v>273</v>
      </c>
    </row>
    <row r="17" spans="1:5" ht="16" x14ac:dyDescent="0.2">
      <c r="A17" t="s">
        <v>6</v>
      </c>
      <c r="B17" s="21" t="s">
        <v>214</v>
      </c>
      <c r="E17" t="s">
        <v>273</v>
      </c>
    </row>
    <row r="18" spans="1:5" x14ac:dyDescent="0.2">
      <c r="B18" s="21"/>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2021-06-03T23:31:12Z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