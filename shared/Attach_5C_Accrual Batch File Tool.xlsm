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013" codeName="{2415A153-8570-D804-BEE2-DBEC5437C898}"/>
  <workbookPr codeName="ThisWorkbook" autoCompressPictures="0"/>
  <mc:AlternateContent xmlns:mc="http://schemas.openxmlformats.org/markup-compatibility/2006">
    <mc:Choice Requires="x15">
      <x15ac:absPath xmlns:x15ac="http://schemas.microsoft.com/office/spreadsheetml/2010/11/ac" url="/Users/kolegagt/Projects/ctrp_docs/"/>
    </mc:Choice>
  </mc:AlternateContent>
  <xr:revisionPtr revIDLastSave="0" documentId="13_ncr:1_{44D3850E-7D26-914A-9101-5729FB4433AE}" xr6:coauthVersionLast="45" xr6:coauthVersionMax="45" xr10:uidLastSave="{00000000-0000-0000-0000-000000000000}"/>
  <bookViews>
    <workbookView xWindow="2480" yWindow="560" windowWidth="51200" windowHeight="26740" tabRatio="710" activeTab="1" xr2:uid="{00000000-000D-0000-FFFF-FFFF00000000}"/>
  </bookViews>
  <sheets>
    <sheet name="Instructions" sheetId="5" r:id="rId1"/>
    <sheet name="Input" sheetId="7" r:id="rId2"/>
    <sheet name="Collections" sheetId="1" r:id="rId3"/>
    <sheet name="Patients" sheetId="2" r:id="rId4"/>
    <sheet name="Races" sheetId="3" r:id="rId5"/>
    <sheet name="Accrual Count" sheetId="4" r:id="rId6"/>
    <sheet name="Export" sheetId="6" r:id="rId7"/>
    <sheet name="Definitions" sheetId="8" r:id="rId8"/>
  </sheets>
  <functionGroups builtInGroupCount="19"/>
  <definedNames>
    <definedName name="Disease">Input!$O$7:$O$10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C18" i="7" l="1"/>
  <c r="C22" i="7" l="1"/>
  <c r="C16" i="7"/>
  <c r="A11" i="8" s="1"/>
  <c r="C19" i="7"/>
  <c r="A14" i="8" s="1"/>
  <c r="C20" i="7"/>
  <c r="A15" i="8" s="1"/>
  <c r="C14" i="7"/>
  <c r="A9" i="8" s="1"/>
  <c r="C12" i="7"/>
  <c r="A7" i="8" s="1"/>
  <c r="C13" i="7"/>
  <c r="K6" i="7" s="1"/>
  <c r="A13" i="8"/>
  <c r="C27" i="7"/>
  <c r="C28" i="7"/>
  <c r="A16" i="8" s="1"/>
  <c r="C11" i="7"/>
  <c r="J6" i="7" s="1"/>
  <c r="C9" i="7"/>
  <c r="A4" i="8" s="1"/>
  <c r="C3" i="7"/>
  <c r="A2" i="8" s="1"/>
  <c r="C23" i="7"/>
  <c r="C21" i="7"/>
  <c r="N6" i="7"/>
  <c r="C17" i="7"/>
  <c r="A12" i="8" s="1"/>
  <c r="C15" i="7"/>
  <c r="M6" i="7" s="1"/>
  <c r="E3" i="7"/>
  <c r="I6" i="7" s="1"/>
  <c r="C10" i="7"/>
  <c r="A5" i="8" s="1"/>
  <c r="A10" i="8"/>
  <c r="L6" i="7" l="1"/>
  <c r="A8" i="8"/>
  <c r="A6" i="8"/>
  <c r="A3" i="8"/>
</calcChain>
</file>

<file path=xl/sharedStrings.xml><?xml version="1.0" encoding="utf-8"?>
<sst xmlns="http://schemas.openxmlformats.org/spreadsheetml/2006/main" count="376" uniqueCount="357">
  <si>
    <t>Study Id</t>
  </si>
  <si>
    <t xml:space="preserve">Study Subject Identifier </t>
  </si>
  <si>
    <t>Country of Residence</t>
  </si>
  <si>
    <t>Patient’s Date of Birth</t>
  </si>
  <si>
    <t>Gender of a Person</t>
  </si>
  <si>
    <t>Ethnicity</t>
  </si>
  <si>
    <t>Payment Method</t>
  </si>
  <si>
    <t>Subject Registration Date</t>
  </si>
  <si>
    <t>Registering Group Identifier</t>
  </si>
  <si>
    <t>Study Site Identifier</t>
  </si>
  <si>
    <t>Subject Disease Code</t>
  </si>
  <si>
    <t>Change Code</t>
  </si>
  <si>
    <t>Race</t>
  </si>
  <si>
    <t>Study Site Accrual Count</t>
  </si>
  <si>
    <t>Male</t>
  </si>
  <si>
    <t>Female</t>
  </si>
  <si>
    <t>Unknown</t>
  </si>
  <si>
    <t>Unspecified</t>
  </si>
  <si>
    <t>Hispanic or Latino</t>
  </si>
  <si>
    <t>Not Hispanic or Latino</t>
  </si>
  <si>
    <t>Not Reported</t>
  </si>
  <si>
    <t>Managed Care</t>
  </si>
  <si>
    <t>Medicare</t>
  </si>
  <si>
    <t>Medicaid</t>
  </si>
  <si>
    <t>Medicaid and Medicare</t>
  </si>
  <si>
    <t>Medicare and Private Insurance</t>
  </si>
  <si>
    <t>Military Sponsored (Including CHAMPUS &amp; TriCare)</t>
  </si>
  <si>
    <t>No Means of Payment (No Insurance)</t>
  </si>
  <si>
    <t>Other</t>
  </si>
  <si>
    <t>Private Insurance</t>
  </si>
  <si>
    <t>Self-Pay (No Insurance)</t>
  </si>
  <si>
    <t>State Supplemental Health Insurance</t>
  </si>
  <si>
    <t>Veterans Sponsored</t>
  </si>
  <si>
    <t>American Indian or Alaska Native</t>
  </si>
  <si>
    <t>Asian</t>
  </si>
  <si>
    <t>White</t>
  </si>
  <si>
    <t>Black or African American</t>
  </si>
  <si>
    <t>Study Details</t>
  </si>
  <si>
    <t>AF</t>
  </si>
  <si>
    <t>AL</t>
  </si>
  <si>
    <t>DZ</t>
  </si>
  <si>
    <t>AS</t>
  </si>
  <si>
    <t>AD</t>
  </si>
  <si>
    <t>AO</t>
  </si>
  <si>
    <t>AI</t>
  </si>
  <si>
    <t>AQ</t>
  </si>
  <si>
    <t>AG</t>
  </si>
  <si>
    <t>AR</t>
  </si>
  <si>
    <t>AM</t>
  </si>
  <si>
    <t>AW</t>
  </si>
  <si>
    <t>AU</t>
  </si>
  <si>
    <t>AT</t>
  </si>
  <si>
    <t>AZ</t>
  </si>
  <si>
    <t>BS</t>
  </si>
  <si>
    <t>BH</t>
  </si>
  <si>
    <t>BD</t>
  </si>
  <si>
    <t>BB</t>
  </si>
  <si>
    <t>BY</t>
  </si>
  <si>
    <t>BE</t>
  </si>
  <si>
    <t>BZ</t>
  </si>
  <si>
    <t>BJ</t>
  </si>
  <si>
    <t>BM</t>
  </si>
  <si>
    <t>BT</t>
  </si>
  <si>
    <t>BO</t>
  </si>
  <si>
    <t>BA</t>
  </si>
  <si>
    <t>BW</t>
  </si>
  <si>
    <t>BV</t>
  </si>
  <si>
    <t>BR</t>
  </si>
  <si>
    <t>IO</t>
  </si>
  <si>
    <t>BN</t>
  </si>
  <si>
    <t>BG</t>
  </si>
  <si>
    <t>BF</t>
  </si>
  <si>
    <t>BI</t>
  </si>
  <si>
    <t>KH</t>
  </si>
  <si>
    <t>CM</t>
  </si>
  <si>
    <t>CA</t>
  </si>
  <si>
    <t>CV</t>
  </si>
  <si>
    <t>KY</t>
  </si>
  <si>
    <t>CF</t>
  </si>
  <si>
    <t>TD</t>
  </si>
  <si>
    <t>CL</t>
  </si>
  <si>
    <t>CN</t>
  </si>
  <si>
    <t>CX</t>
  </si>
  <si>
    <t>CC</t>
  </si>
  <si>
    <t>CO</t>
  </si>
  <si>
    <t>KM</t>
  </si>
  <si>
    <t>CG</t>
  </si>
  <si>
    <t>CD</t>
  </si>
  <si>
    <t>CK</t>
  </si>
  <si>
    <t>CR</t>
  </si>
  <si>
    <t>CI</t>
  </si>
  <si>
    <t>HR</t>
  </si>
  <si>
    <t>CU</t>
  </si>
  <si>
    <t>CY</t>
  </si>
  <si>
    <t>CZ</t>
  </si>
  <si>
    <t>DK</t>
  </si>
  <si>
    <t>DJ</t>
  </si>
  <si>
    <t>DM</t>
  </si>
  <si>
    <t>DO</t>
  </si>
  <si>
    <t>TP</t>
  </si>
  <si>
    <t>EC</t>
  </si>
  <si>
    <t>EG</t>
  </si>
  <si>
    <t>SV</t>
  </si>
  <si>
    <t>GQ</t>
  </si>
  <si>
    <t>ER</t>
  </si>
  <si>
    <t>EE</t>
  </si>
  <si>
    <t>ET</t>
  </si>
  <si>
    <t>FK</t>
  </si>
  <si>
    <t>FO</t>
  </si>
  <si>
    <t>FJ</t>
  </si>
  <si>
    <t>FI</t>
  </si>
  <si>
    <t>FR</t>
  </si>
  <si>
    <t>FX</t>
  </si>
  <si>
    <t>GF</t>
  </si>
  <si>
    <t>PF</t>
  </si>
  <si>
    <t>TF</t>
  </si>
  <si>
    <t>GA</t>
  </si>
  <si>
    <t>GM</t>
  </si>
  <si>
    <t>GE</t>
  </si>
  <si>
    <t>DE</t>
  </si>
  <si>
    <t>GH</t>
  </si>
  <si>
    <t>GI</t>
  </si>
  <si>
    <t>GR</t>
  </si>
  <si>
    <t>GL</t>
  </si>
  <si>
    <t>GD</t>
  </si>
  <si>
    <t>GP</t>
  </si>
  <si>
    <t>GU</t>
  </si>
  <si>
    <t>GT</t>
  </si>
  <si>
    <t>GN</t>
  </si>
  <si>
    <t>GW</t>
  </si>
  <si>
    <t>GY</t>
  </si>
  <si>
    <t>HT</t>
  </si>
  <si>
    <t>HM</t>
  </si>
  <si>
    <t>VA</t>
  </si>
  <si>
    <t>HN</t>
  </si>
  <si>
    <t>HK</t>
  </si>
  <si>
    <t>HU</t>
  </si>
  <si>
    <t>IS</t>
  </si>
  <si>
    <t>IN</t>
  </si>
  <si>
    <t>ID</t>
  </si>
  <si>
    <t>IR</t>
  </si>
  <si>
    <t>IQ</t>
  </si>
  <si>
    <t>IE</t>
  </si>
  <si>
    <t>IL</t>
  </si>
  <si>
    <t>IT</t>
  </si>
  <si>
    <t>JM</t>
  </si>
  <si>
    <t>JP</t>
  </si>
  <si>
    <t>JO</t>
  </si>
  <si>
    <t>KZ</t>
  </si>
  <si>
    <t>KE</t>
  </si>
  <si>
    <t>KI</t>
  </si>
  <si>
    <t>KP</t>
  </si>
  <si>
    <t>KR</t>
  </si>
  <si>
    <t>KW</t>
  </si>
  <si>
    <t>KG</t>
  </si>
  <si>
    <t>LA</t>
  </si>
  <si>
    <t>LV</t>
  </si>
  <si>
    <t>LB</t>
  </si>
  <si>
    <t>LS</t>
  </si>
  <si>
    <t>LR</t>
  </si>
  <si>
    <t>LY</t>
  </si>
  <si>
    <t>LI</t>
  </si>
  <si>
    <t>LT</t>
  </si>
  <si>
    <t>LU</t>
  </si>
  <si>
    <t>MO</t>
  </si>
  <si>
    <t>MK</t>
  </si>
  <si>
    <t>MG</t>
  </si>
  <si>
    <t>MW</t>
  </si>
  <si>
    <t>MY</t>
  </si>
  <si>
    <t>MV</t>
  </si>
  <si>
    <t>ML</t>
  </si>
  <si>
    <t>MT</t>
  </si>
  <si>
    <t>MH</t>
  </si>
  <si>
    <t>MQ</t>
  </si>
  <si>
    <t>MR</t>
  </si>
  <si>
    <t>MU</t>
  </si>
  <si>
    <t>YT</t>
  </si>
  <si>
    <t>MX</t>
  </si>
  <si>
    <t>FM</t>
  </si>
  <si>
    <t>MD</t>
  </si>
  <si>
    <t>MC</t>
  </si>
  <si>
    <t>MN</t>
  </si>
  <si>
    <t>MS</t>
  </si>
  <si>
    <t>MA</t>
  </si>
  <si>
    <t>MZ</t>
  </si>
  <si>
    <t>MM</t>
  </si>
  <si>
    <t>NA</t>
  </si>
  <si>
    <t>NR</t>
  </si>
  <si>
    <t>NP</t>
  </si>
  <si>
    <t>NL</t>
  </si>
  <si>
    <t>AN</t>
  </si>
  <si>
    <t>NC</t>
  </si>
  <si>
    <t>NZ</t>
  </si>
  <si>
    <t>NI</t>
  </si>
  <si>
    <t>NE</t>
  </si>
  <si>
    <t>NG</t>
  </si>
  <si>
    <t>NU</t>
  </si>
  <si>
    <t>NF</t>
  </si>
  <si>
    <t>MP</t>
  </si>
  <si>
    <t>NO</t>
  </si>
  <si>
    <t>OM</t>
  </si>
  <si>
    <t>PK</t>
  </si>
  <si>
    <t>PW</t>
  </si>
  <si>
    <t>PA</t>
  </si>
  <si>
    <t>PG</t>
  </si>
  <si>
    <t>PY</t>
  </si>
  <si>
    <t>PE</t>
  </si>
  <si>
    <t>PH</t>
  </si>
  <si>
    <t>PN</t>
  </si>
  <si>
    <t>PL</t>
  </si>
  <si>
    <t>PT</t>
  </si>
  <si>
    <t>PR</t>
  </si>
  <si>
    <t>QA</t>
  </si>
  <si>
    <t>RE</t>
  </si>
  <si>
    <t>RO</t>
  </si>
  <si>
    <t>RU</t>
  </si>
  <si>
    <t>RW</t>
  </si>
  <si>
    <t>KN</t>
  </si>
  <si>
    <t>LC</t>
  </si>
  <si>
    <t>VC</t>
  </si>
  <si>
    <t>WS</t>
  </si>
  <si>
    <t>SM</t>
  </si>
  <si>
    <t>ST</t>
  </si>
  <si>
    <t>SA</t>
  </si>
  <si>
    <t>SN</t>
  </si>
  <si>
    <t>SC</t>
  </si>
  <si>
    <t>SL</t>
  </si>
  <si>
    <t>SG</t>
  </si>
  <si>
    <t>SK</t>
  </si>
  <si>
    <t>SI</t>
  </si>
  <si>
    <t>SB</t>
  </si>
  <si>
    <t>SO</t>
  </si>
  <si>
    <t>ZA</t>
  </si>
  <si>
    <t>GS</t>
  </si>
  <si>
    <t>ES</t>
  </si>
  <si>
    <t>LK</t>
  </si>
  <si>
    <t>SH</t>
  </si>
  <si>
    <t>PM</t>
  </si>
  <si>
    <t>SD</t>
  </si>
  <si>
    <t>SR</t>
  </si>
  <si>
    <t>SJ</t>
  </si>
  <si>
    <t>SZ</t>
  </si>
  <si>
    <t>SE</t>
  </si>
  <si>
    <t>CH</t>
  </si>
  <si>
    <t>SY</t>
  </si>
  <si>
    <t>TW</t>
  </si>
  <si>
    <t>TJ</t>
  </si>
  <si>
    <t>TZ</t>
  </si>
  <si>
    <t>TH</t>
  </si>
  <si>
    <t>TG</t>
  </si>
  <si>
    <t>TK</t>
  </si>
  <si>
    <t>TO</t>
  </si>
  <si>
    <t>TT</t>
  </si>
  <si>
    <t>TN</t>
  </si>
  <si>
    <t>TR</t>
  </si>
  <si>
    <t>TM</t>
  </si>
  <si>
    <t>TC</t>
  </si>
  <si>
    <t>TV</t>
  </si>
  <si>
    <t>UG</t>
  </si>
  <si>
    <t>UA</t>
  </si>
  <si>
    <t>AE</t>
  </si>
  <si>
    <t>GB</t>
  </si>
  <si>
    <t>US</t>
  </si>
  <si>
    <t>UM</t>
  </si>
  <si>
    <t>UY</t>
  </si>
  <si>
    <t>UZ</t>
  </si>
  <si>
    <t>VU</t>
  </si>
  <si>
    <t>VE</t>
  </si>
  <si>
    <t>VN</t>
  </si>
  <si>
    <t>VG</t>
  </si>
  <si>
    <t>VI</t>
  </si>
  <si>
    <t>WF</t>
  </si>
  <si>
    <t>EH</t>
  </si>
  <si>
    <t>YE</t>
  </si>
  <si>
    <t>ZM</t>
  </si>
  <si>
    <t>ZW</t>
  </si>
  <si>
    <t>CTRP Accruals Spreadsheet</t>
  </si>
  <si>
    <t>Purpose</t>
  </si>
  <si>
    <t>Entering Data</t>
  </si>
  <si>
    <t>Exporting Data</t>
  </si>
  <si>
    <t>Revision</t>
  </si>
  <si>
    <t>Date</t>
  </si>
  <si>
    <t>Author</t>
  </si>
  <si>
    <t>1.0</t>
  </si>
  <si>
    <t>Initial draft</t>
  </si>
  <si>
    <t>Patrick McConnell</t>
  </si>
  <si>
    <t>The purpose of this Workbook is to provide an mechanism to capture accruals data to be imported into the CTRP accruals application using the Batch Import functionality.  This is an alternative to entering data directly into the CTRP Accruals application using the website, generating a batch upload file directly, or using the CTRP accruals APIs.  The ultimate goal of using this Workbook is to export data for import into CTRP Accruals using the Batch Import function on the CTRP Accruals website.  Use of that website is outside the scope of these instructions</t>
  </si>
  <si>
    <t>Military or Veterans Sponsored, NOS</t>
  </si>
  <si>
    <t>Add Accrual</t>
  </si>
  <si>
    <t>Data Element</t>
  </si>
  <si>
    <t>Definition</t>
  </si>
  <si>
    <t>This is the unique identifier assigned to the study.</t>
  </si>
  <si>
    <t>Whether the data has not changed since the last report</t>
  </si>
  <si>
    <t>Numeric count of subjects accrued at a study site to date</t>
  </si>
  <si>
    <t>Unique identifier (numeric or alphanumeric) assigned to the study site</t>
  </si>
  <si>
    <t>Unique identifier (PO ID) assigned to the institution accruing the patient to the study.</t>
  </si>
  <si>
    <t>Unique identifier (PO ID) assigned to the group that originally registered the patient for the study</t>
  </si>
  <si>
    <t>The month and year on which the person was born</t>
  </si>
  <si>
    <t>Text designations that identify gender. Gender is described as the assemblage of properties that distinguish people on the basis of their societal roles.</t>
  </si>
  <si>
    <t>The text for reporting information about ethnicity based on the Office of Management and Budget (OMB) categories.</t>
  </si>
  <si>
    <r>
      <t>Text term for an entity, organization, government, corporation, health plan sponsor, or any other financial agent who pays a healthcare provider for the healthcare service rendered to a person or reimburses the cost of the healthcare service.</t>
    </r>
    <r>
      <rPr>
        <sz val="11"/>
        <color theme="1"/>
        <rFont val="Calibri"/>
        <family val="2"/>
        <scheme val="minor"/>
      </rPr>
      <t>&lt;y.</t>
    </r>
  </si>
  <si>
    <r>
      <t>Date the subject was registered for the study.</t>
    </r>
    <r>
      <rPr>
        <sz val="11"/>
        <color theme="1"/>
        <rFont val="Calibri"/>
        <family val="2"/>
        <scheme val="minor"/>
      </rPr>
      <t>&lt;y.</t>
    </r>
  </si>
  <si>
    <r>
      <t>Code that identifies a disease.</t>
    </r>
    <r>
      <rPr>
        <sz val="11"/>
        <color theme="1"/>
        <rFont val="Calibri"/>
        <family val="2"/>
        <scheme val="minor"/>
      </rPr>
      <t>&lt; study.&lt;y.</t>
    </r>
  </si>
  <si>
    <r>
      <t>The text for reporting information about race based on the Office of Management and Budget (OMB) categories.</t>
    </r>
    <r>
      <rPr>
        <sz val="11"/>
        <color theme="1"/>
        <rFont val="Calibri"/>
        <family val="2"/>
        <scheme val="minor"/>
      </rPr>
      <t>&lt;y.</t>
    </r>
  </si>
  <si>
    <t>Zip Code (if US)</t>
  </si>
  <si>
    <t>Data can be entered either through the Input Worksheet or directly into the Collections, Patients, Races, and Accrual Count Worksheets.  The Input Worksheet requires that you first enter study details into the first section and then click either the Complete Trials button or Abbreviated Trials button to view the rest of the fields that are available.  Then, click the Add Subject or Add Accrual button respectively.  If the data is valid and entered correctly, it will be moved into the correct worksheet.  If you enter data into the Collections, Patients, Races, and Accrual Count Worksheets manually, you must insure that identifiers are correctly maintained across the spreadsheets and that the data is appropriately formatted.  You can click the field names on the Input Worksheet to view the definition of the field.</t>
  </si>
  <si>
    <t>1.1</t>
  </si>
  <si>
    <t>Changed language</t>
  </si>
  <si>
    <t>Complete Trial Details</t>
  </si>
  <si>
    <t>Abbreviated Trial Details</t>
  </si>
  <si>
    <t>1.2</t>
  </si>
  <si>
    <t>1.3</t>
  </si>
  <si>
    <t>Multi-study support</t>
  </si>
  <si>
    <t xml:space="preserve">Data is exported to a CSV file by navigating to the Export Worksheet and clicking the Export button.  You will be prompted for a file name, and any existing file will be overwritten.  You can only export data for Complete Trials and Abbreviated trials separately by clicking the appropriate Export button.  The study identifier is appended to the file name, and a different file is created for each study.  Clicking the Clear All Data button will erase data from the Collections, Patients, Races, and Accrual Count worksheets. </t>
  </si>
  <si>
    <t>1.4</t>
  </si>
  <si>
    <t>Fixed bugs reported by QA</t>
  </si>
  <si>
    <t>Note</t>
  </si>
  <si>
    <t>*Subject Disease Code</t>
  </si>
  <si>
    <t>SDC</t>
  </si>
  <si>
    <t>ICD-10</t>
  </si>
  <si>
    <t>ICD-9</t>
  </si>
  <si>
    <t>ICD-O-3</t>
  </si>
  <si>
    <t>RS</t>
  </si>
  <si>
    <t>AX</t>
  </si>
  <si>
    <t>BL</t>
  </si>
  <si>
    <t>GG</t>
  </si>
  <si>
    <t>IM</t>
  </si>
  <si>
    <t>JE</t>
  </si>
  <si>
    <t>ME</t>
  </si>
  <si>
    <t>MF</t>
  </si>
  <si>
    <t>PS</t>
  </si>
  <si>
    <t>TL</t>
  </si>
  <si>
    <t>1.5</t>
  </si>
  <si>
    <t>Reshma Koganti</t>
  </si>
  <si>
    <t>Cut-Off Date</t>
  </si>
  <si>
    <t>1.6</t>
  </si>
  <si>
    <t>Added Cut-Off Date</t>
  </si>
  <si>
    <t>Praneeth Polavarapu</t>
  </si>
  <si>
    <t>The string of characters used to identify the five-digit Zone Improvement Plan (ZIP) code that represents the geographic segment that is a subunit of the ZIPcode, assigned by the U.S. Postal Service to a geographic location to facilitate mail delivery. Zip Code is mandatory if the patient’s Country of Residence is the U.S.</t>
  </si>
  <si>
    <t>For non-U.S. residents only. This should be used when patient participation from foreign countries is involved. For patients from outside the U.S., enter the foreign country code. Leave blank if the patient is a U.S. resident. CTRP is using the International Standards Organization country codes.  Note: Either Zip code (if U.S resident) or country code (if not U.S resident) is mandatory.</t>
  </si>
  <si>
    <t>Native Hawaiian or Other Pacific Islander</t>
  </si>
  <si>
    <t>1.7</t>
  </si>
  <si>
    <t>Removed validation for the subject disease code</t>
  </si>
  <si>
    <t>1.8</t>
  </si>
  <si>
    <t>Fix for export complete trials</t>
  </si>
  <si>
    <t>1.9</t>
  </si>
  <si>
    <t>Changed race "Native Hawaiian or other Pacific Islander" to "Native Hawaiian or Other Pacific Islander"</t>
  </si>
  <si>
    <t>Added country codes to fix PO-8965 reported by QA</t>
  </si>
  <si>
    <t>Instructions</t>
  </si>
  <si>
    <r>
      <rPr>
        <b/>
        <sz val="11"/>
        <color theme="1"/>
        <rFont val="Calibri"/>
        <family val="2"/>
        <scheme val="minor"/>
      </rPr>
      <t>Cut-Off Date Format</t>
    </r>
    <r>
      <rPr>
        <sz val="11"/>
        <color theme="1"/>
        <rFont val="Calibri"/>
        <family val="2"/>
        <scheme val="minor"/>
      </rPr>
      <t>: mm/dd/yyyy</t>
    </r>
  </si>
  <si>
    <t>2.0</t>
  </si>
  <si>
    <t>Added instructions to Input page. Adjusted input page layout.</t>
  </si>
  <si>
    <t>Li Wang</t>
  </si>
  <si>
    <r>
      <t xml:space="preserve">The Accrual Batch File Tool supports  SDC, ICD-9, ICD-10, and ICD-O-3 patient disease codes. For ICD-O-3 code system, both disease code and disease site are required. Please add them into the </t>
    </r>
    <r>
      <rPr>
        <b/>
        <sz val="11"/>
        <color theme="1"/>
        <rFont val="Calibri"/>
        <family val="2"/>
        <scheme val="minor"/>
      </rPr>
      <t xml:space="preserve">Subject Disease Code </t>
    </r>
    <r>
      <rPr>
        <sz val="11"/>
        <color theme="1"/>
        <rFont val="Calibri"/>
        <family val="2"/>
        <scheme val="minor"/>
      </rPr>
      <t>field. Delimited by semicolon</t>
    </r>
  </si>
  <si>
    <t>https://wiki.nci.nih.gov/display/CTRP/2018-12-04+User+Call+Meeting+Minutes?preview=/388041646/388041645/2018-12-04_CTRP_DT4_User%20Call.pdf.</t>
  </si>
  <si>
    <r>
      <t xml:space="preserve">
Instructions:
</t>
    </r>
    <r>
      <rPr>
        <sz val="11"/>
        <color theme="1"/>
        <rFont val="Calibri"/>
        <family val="2"/>
        <scheme val="minor"/>
      </rPr>
      <t xml:space="preserve">Accrual batch file submissions for Abbreviated/Imported trials should contain cumulative accrual data.  CTRP expects all the accrual data on the Abbreviated/Imported trial to be submitted with each batch accrual submission.  With each new batch file submitted, the previous accrual data in CTRP will be overwritten. </t>
    </r>
    <r>
      <rPr>
        <b/>
        <sz val="11"/>
        <color theme="1"/>
        <rFont val="Calibri"/>
        <family val="2"/>
        <scheme val="minor"/>
      </rPr>
      <t xml:space="preserve">
For example: </t>
    </r>
    <r>
      <rPr>
        <sz val="11"/>
        <color theme="1"/>
        <rFont val="Calibri"/>
        <family val="2"/>
        <scheme val="minor"/>
      </rPr>
      <t xml:space="preserve"> Below represents summary accrual (“Cut-off Date” represented for when accrual changed) for 2 Participating Sites on an Abbreviated/Imported trial. </t>
    </r>
    <r>
      <rPr>
        <b/>
        <sz val="11"/>
        <color theme="1"/>
        <rFont val="Calibri"/>
        <family val="2"/>
        <scheme val="minor"/>
      </rPr>
      <t xml:space="preserve">
Note:  </t>
    </r>
    <r>
      <rPr>
        <sz val="11"/>
        <color theme="1"/>
        <rFont val="Calibri"/>
        <family val="2"/>
        <scheme val="minor"/>
      </rPr>
      <t xml:space="preserve">Please ensure that your CTRP Abbreviated/Imported accrual batch file contains all cumulative accrual data for each participating site to date before uploading to CTRP.  </t>
    </r>
    <r>
      <rPr>
        <b/>
        <sz val="11"/>
        <color rgb="FFFF0000"/>
        <rFont val="Calibri (Body)"/>
      </rPr>
      <t>Failure to include cumulative accrual data on Abbreviated/Imported trials will result in erasing previously submitted accrual information.</t>
    </r>
    <r>
      <rPr>
        <sz val="11"/>
        <color theme="1"/>
        <rFont val="Calibri"/>
        <family val="2"/>
        <scheme val="minor"/>
      </rPr>
      <t xml:space="preserve">  Therefore, if only the latest count is submitted, the previous records of this trial will be over-written and no longer available in the CTRP database.  For additional details, please reference:  </t>
    </r>
  </si>
  <si>
    <r>
      <rPr>
        <b/>
        <sz val="11"/>
        <color theme="1"/>
        <rFont val="Calibri"/>
        <family val="2"/>
        <scheme val="minor"/>
      </rPr>
      <t xml:space="preserve">  Patient’s Date of Birth Format: </t>
    </r>
    <r>
      <rPr>
        <sz val="11"/>
        <color theme="1"/>
        <rFont val="Calibri"/>
        <family val="2"/>
        <scheme val="minor"/>
      </rPr>
      <t xml:space="preserve">MM/DD/YYYY or MM/YYYY
</t>
    </r>
    <r>
      <rPr>
        <b/>
        <sz val="11"/>
        <color theme="1"/>
        <rFont val="Calibri"/>
        <family val="2"/>
        <scheme val="minor"/>
      </rPr>
      <t xml:space="preserve">  Subject Registration Date Format: </t>
    </r>
    <r>
      <rPr>
        <sz val="11"/>
        <color theme="1"/>
        <rFont val="Calibri"/>
        <family val="2"/>
        <scheme val="minor"/>
      </rPr>
      <t xml:space="preserve">MM/DD/YYYY
</t>
    </r>
    <r>
      <rPr>
        <b/>
        <sz val="11"/>
        <color theme="1"/>
        <rFont val="Calibri"/>
        <family val="2"/>
        <scheme val="minor"/>
      </rPr>
      <t xml:space="preserve">  Subject Disease Code:</t>
    </r>
    <r>
      <rPr>
        <sz val="11"/>
        <color theme="1"/>
        <rFont val="Calibri"/>
        <family val="2"/>
        <scheme val="minor"/>
      </rPr>
      <t xml:space="preserve"> For ICD-O-3 disease code system, please add both disease code and disease site to this field. Delimited by a semicolon. For example: 8543/3;C50.4</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</si>
</sst>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mm/yyyy"/>
    <numFmt numFmtId="166" formatCode="yyyymm"/>
    <numFmt numFmtId="167" formatCode="yyyymmdd"/>
  </numFmts>
  <fonts count="9">
    <font>
      <sz val="11"/>
      <color theme="1"/>
      <name val="Calibri"/>
      <family val="2"/>
      <scheme val="minor"/>
    </font>
    <font>
      <b/>
      <sz val="11"/>
      <color theme="1"/>
      <name val="Calibri"/>
      <family val="2"/>
      <scheme val="minor"/>
    </font>
    <font>
      <b/>
      <sz val="26"/>
      <color theme="1"/>
      <name val="Calibri"/>
      <family val="2"/>
      <scheme val="minor"/>
    </font>
    <font>
      <sz val="26"/>
      <color theme="1"/>
      <name val="Calibri"/>
      <family val="2"/>
      <scheme val="minor"/>
    </font>
    <font>
      <b/>
      <sz val="14"/>
      <color theme="1"/>
      <name val="Calibri"/>
      <family val="2"/>
      <scheme val="minor"/>
    </font>
    <font>
      <sz val="11"/>
      <color rgb="FFFFFFFF"/>
      <name val="Calibri"/>
      <family val="2"/>
      <scheme val="minor"/>
    </font>
    <font>
      <u/>
      <sz val="11"/>
      <color theme="10"/>
      <name val="Calibri"/>
      <family val="2"/>
      <scheme val="minor"/>
    </font>
    <font>
      <b/>
      <sz val="11"/>
      <color rgb="FFFF0000"/>
      <name val="Calibri (Body)"/>
    </font>
    <font>
      <b/>
      <sz val="10"/>
      <color theme="1"/>
      <name val="Calibri"/>
      <family val="2"/>
      <scheme val="minor"/>
    </font>
  </fonts>
  <fills count="3">
    <fill>
      <patternFill patternType="none"/>
    </fill>
    <fill>
      <patternFill patternType="gray125"/>
    </fill>
    <fill>
      <patternFill patternType="solid">
        <fgColor rgb="FFF2FCFA"/>
        <bgColor indexed="64"/>
      </patternFill>
    </fill>
  </fills>
  <borders count="23">
    <border>
      <left/>
      <right/>
      <top/>
      <bottom/>
      <diagonal/>
    </border>
    <border>
      <left/>
      <right/>
      <top/>
      <bottom style="thick">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double">
        <color auto="1"/>
      </left>
      <right/>
      <top style="thin">
        <color indexed="64"/>
      </top>
      <bottom/>
      <diagonal/>
    </border>
    <border>
      <left/>
      <right/>
      <top style="thin">
        <color indexed="64"/>
      </top>
      <bottom/>
      <diagonal/>
    </border>
    <border>
      <left/>
      <right style="double">
        <color auto="1"/>
      </right>
      <top style="thin">
        <color indexed="64"/>
      </top>
      <bottom/>
      <diagonal/>
    </border>
    <border>
      <left/>
      <right/>
      <top style="thin">
        <color theme="0" tint="-4.9989318521683403E-2"/>
      </top>
      <bottom/>
      <diagonal/>
    </border>
    <border>
      <left/>
      <right/>
      <top style="dashed">
        <color theme="0" tint="-4.9989318521683403E-2"/>
      </top>
      <bottom/>
      <diagonal/>
    </border>
    <border>
      <left style="double">
        <color auto="1"/>
      </left>
      <right/>
      <top style="thin">
        <color theme="0" tint="-0.14996795556505021"/>
      </top>
      <bottom/>
      <diagonal/>
    </border>
    <border>
      <left/>
      <right/>
      <top style="thin">
        <color theme="0" tint="-0.14996795556505021"/>
      </top>
      <bottom/>
      <diagonal/>
    </border>
    <border>
      <left/>
      <right style="double">
        <color auto="1"/>
      </right>
      <top style="thin">
        <color theme="0" tint="-0.14996795556505021"/>
      </top>
      <bottom/>
      <diagonal/>
    </border>
    <border>
      <left style="double">
        <color auto="1"/>
      </left>
      <right/>
      <top/>
      <bottom style="thin">
        <color theme="0" tint="-0.14996795556505021"/>
      </bottom>
      <diagonal/>
    </border>
    <border>
      <left/>
      <right/>
      <top/>
      <bottom style="thin">
        <color theme="0" tint="-0.14996795556505021"/>
      </bottom>
      <diagonal/>
    </border>
    <border>
      <left/>
      <right style="double">
        <color auto="1"/>
      </right>
      <top/>
      <bottom style="thin">
        <color theme="0" tint="-0.14996795556505021"/>
      </bottom>
      <diagonal/>
    </border>
  </borders>
  <cellStyleXfs count="2">
    <xf numFmtId="0" fontId="0" fillId="0" borderId="0"/>
    <xf numFmtId="0" fontId="6" fillId="0" borderId="0" applyNumberFormat="0" applyFill="0" applyBorder="0" applyAlignment="0" applyProtection="0"/>
  </cellStyleXfs>
  <cellXfs count="106">
    <xf numFmtId="0" fontId="0" fillId="0" borderId="0" xfId="0"/>
    <xf numFmtId="0" fontId="1" fillId="0" borderId="0" xfId="0" applyFont="1"/>
    <xf numFmtId="0" fontId="1" fillId="0" borderId="0" xfId="0" applyFont="1" applyAlignment="1">
      <alignment wrapText="1"/>
    </xf>
    <xf numFmtId="0" fontId="0" fillId="0" borderId="0" xfId="0" applyFont="1"/>
    <xf numFmtId="0" fontId="1" fillId="0" borderId="0" xfId="0" applyFont="1" applyBorder="1"/>
    <xf numFmtId="0" fontId="1" fillId="0" borderId="8" xfId="0" applyFont="1" applyBorder="1"/>
    <xf numFmtId="0" fontId="1" fillId="0" borderId="3" xfId="0" applyFont="1" applyBorder="1"/>
    <xf numFmtId="0" fontId="1" fillId="0" borderId="0" xfId="0" applyFont="1" applyBorder="1" applyAlignment="1">
      <alignment wrapText="1"/>
    </xf>
    <xf numFmtId="164" fontId="0" fillId="0" borderId="0" xfId="0" applyNumberFormat="1"/>
    <xf numFmtId="164" fontId="1" fillId="0" borderId="0" xfId="0" applyNumberFormat="1" applyFont="1" applyAlignment="1">
      <alignment wrapText="1"/>
    </xf>
    <xf numFmtId="0" fontId="4" fillId="0" borderId="0" xfId="0" applyFont="1"/>
    <xf numFmtId="0" fontId="0" fillId="0" borderId="0" xfId="0" applyAlignment="1">
      <alignment wrapText="1"/>
    </xf>
    <xf numFmtId="49" fontId="1" fillId="0" borderId="10" xfId="0" applyNumberFormat="1" applyFont="1" applyBorder="1"/>
    <xf numFmtId="49" fontId="0" fillId="0" borderId="10" xfId="0" applyNumberFormat="1" applyBorder="1"/>
    <xf numFmtId="49" fontId="0" fillId="0" borderId="10" xfId="0" applyNumberFormat="1" applyBorder="1" applyAlignment="1">
      <alignment horizontal="right"/>
    </xf>
    <xf numFmtId="14" fontId="0" fillId="0" borderId="10" xfId="0" applyNumberFormat="1" applyBorder="1"/>
    <xf numFmtId="0" fontId="0" fillId="0" borderId="0" xfId="0" applyFont="1" applyAlignment="1">
      <alignment vertical="top" wrapText="1"/>
    </xf>
    <xf numFmtId="166" fontId="1" fillId="0" borderId="0" xfId="0" applyNumberFormat="1" applyFont="1" applyAlignment="1">
      <alignment wrapText="1"/>
    </xf>
    <xf numFmtId="166" fontId="0" fillId="0" borderId="0" xfId="0" applyNumberFormat="1"/>
    <xf numFmtId="167" fontId="1" fillId="0" borderId="0" xfId="0" applyNumberFormat="1" applyFont="1" applyAlignment="1">
      <alignment wrapText="1"/>
    </xf>
    <xf numFmtId="167" fontId="0" fillId="0" borderId="0" xfId="0" applyNumberFormat="1"/>
    <xf numFmtId="0" fontId="0" fillId="0" borderId="0" xfId="0" applyAlignment="1">
      <alignment wrapText="1"/>
    </xf>
    <xf numFmtId="0" fontId="5" fillId="0" borderId="0" xfId="0" applyFont="1" applyAlignment="1">
      <alignment horizontal="center"/>
    </xf>
    <xf numFmtId="0" fontId="1" fillId="0" borderId="0" xfId="0" applyNumberFormat="1" applyFont="1" applyAlignment="1">
      <alignment wrapText="1"/>
    </xf>
    <xf numFmtId="0" fontId="0" fillId="0" borderId="0" xfId="0" applyNumberFormat="1" applyAlignment="1">
      <alignment wrapText="1"/>
    </xf>
    <xf numFmtId="49" fontId="0" fillId="0" borderId="10" xfId="0" applyNumberFormat="1" applyBorder="1" applyAlignment="1">
      <alignment horizontal="right" wrapText="1"/>
    </xf>
    <xf numFmtId="49" fontId="0" fillId="0" borderId="10" xfId="0" applyNumberFormat="1" applyBorder="1" applyAlignment="1">
      <alignment wrapText="1"/>
    </xf>
    <xf numFmtId="14" fontId="0" fillId="0" borderId="10" xfId="0" applyNumberFormat="1" applyBorder="1" applyAlignment="1">
      <alignment wrapText="1"/>
    </xf>
    <xf numFmtId="0" fontId="1" fillId="0" borderId="0" xfId="0" applyNumberFormat="1" applyFont="1"/>
    <xf numFmtId="0" fontId="0" fillId="0" borderId="0" xfId="0" applyNumberFormat="1"/>
    <xf numFmtId="0" fontId="2" fillId="0" borderId="0" xfId="0" applyFont="1" applyAlignment="1">
      <alignment vertical="center" wrapText="1"/>
    </xf>
    <xf numFmtId="0" fontId="3" fillId="0" borderId="0" xfId="0" applyFont="1" applyAlignment="1">
      <alignment vertical="center" wrapText="1"/>
    </xf>
    <xf numFmtId="0" fontId="0" fillId="0" borderId="0" xfId="0" applyAlignment="1">
      <alignment wrapText="1"/>
    </xf>
    <xf numFmtId="49" fontId="0" fillId="0" borderId="11" xfId="0" applyNumberFormat="1" applyBorder="1" applyAlignment="1">
      <alignment horizontal="right" wrapText="1"/>
    </xf>
    <xf numFmtId="49" fontId="0" fillId="0" borderId="11" xfId="0" applyNumberFormat="1" applyBorder="1" applyAlignment="1">
      <alignment wrapText="1"/>
    </xf>
    <xf numFmtId="14" fontId="0" fillId="0" borderId="11" xfId="0" applyNumberFormat="1" applyBorder="1" applyAlignment="1">
      <alignment wrapText="1"/>
    </xf>
    <xf numFmtId="167" fontId="1" fillId="0" borderId="0" xfId="0" applyNumberFormat="1" applyFont="1"/>
    <xf numFmtId="0" fontId="1" fillId="0" borderId="3" xfId="0" applyFont="1" applyBorder="1" applyAlignment="1">
      <alignment horizontal="center" wrapText="1"/>
    </xf>
    <xf numFmtId="0" fontId="0" fillId="0" borderId="0" xfId="0" applyFont="1" applyAlignment="1">
      <alignment horizontal="left"/>
    </xf>
    <xf numFmtId="0" fontId="0" fillId="0" borderId="5" xfId="0" applyFont="1" applyBorder="1"/>
    <xf numFmtId="49" fontId="0" fillId="0" borderId="1" xfId="0" applyNumberFormat="1" applyFont="1" applyBorder="1" applyAlignment="1">
      <alignment horizontal="left"/>
    </xf>
    <xf numFmtId="0" fontId="0" fillId="0" borderId="6" xfId="0" applyFont="1" applyBorder="1"/>
    <xf numFmtId="0" fontId="0" fillId="0" borderId="0" xfId="0" applyFont="1" applyBorder="1"/>
    <xf numFmtId="0" fontId="0" fillId="0" borderId="7" xfId="0" applyFont="1" applyBorder="1"/>
    <xf numFmtId="49" fontId="0" fillId="0" borderId="8" xfId="0" applyNumberFormat="1" applyFont="1" applyBorder="1" applyAlignment="1">
      <alignment horizontal="left"/>
    </xf>
    <xf numFmtId="0" fontId="0" fillId="0" borderId="8" xfId="0" applyFont="1" applyBorder="1"/>
    <xf numFmtId="0" fontId="0" fillId="0" borderId="9" xfId="0" applyFont="1" applyBorder="1"/>
    <xf numFmtId="49" fontId="0" fillId="0" borderId="0" xfId="0" applyNumberFormat="1" applyFont="1" applyBorder="1" applyAlignment="1">
      <alignment horizontal="left"/>
    </xf>
    <xf numFmtId="0" fontId="0" fillId="0" borderId="2" xfId="0" applyFont="1" applyBorder="1"/>
    <xf numFmtId="164" fontId="0" fillId="0" borderId="1" xfId="0" applyNumberFormat="1" applyFont="1" applyBorder="1" applyAlignment="1">
      <alignment horizontal="left"/>
    </xf>
    <xf numFmtId="165" fontId="0" fillId="0" borderId="1" xfId="0" applyNumberFormat="1" applyFont="1" applyBorder="1" applyAlignment="1">
      <alignment horizontal="left"/>
    </xf>
    <xf numFmtId="0" fontId="0" fillId="0" borderId="1" xfId="0" applyFont="1" applyBorder="1" applyAlignment="1">
      <alignment horizontal="left"/>
    </xf>
    <xf numFmtId="14" fontId="0" fillId="0" borderId="1" xfId="0" applyNumberFormat="1" applyFont="1" applyBorder="1" applyAlignment="1">
      <alignment horizontal="left"/>
    </xf>
    <xf numFmtId="0" fontId="0" fillId="0" borderId="8" xfId="0" applyFont="1" applyBorder="1" applyAlignment="1">
      <alignment horizontal="left"/>
    </xf>
    <xf numFmtId="0" fontId="0" fillId="0" borderId="3" xfId="0" applyFont="1" applyBorder="1"/>
    <xf numFmtId="0" fontId="0" fillId="0" borderId="4" xfId="0" applyFont="1" applyBorder="1"/>
    <xf numFmtId="1" fontId="0" fillId="0" borderId="1" xfId="0" applyNumberFormat="1" applyFont="1" applyBorder="1" applyAlignment="1">
      <alignment horizontal="left"/>
    </xf>
    <xf numFmtId="0" fontId="0" fillId="0" borderId="0" xfId="1" applyFont="1"/>
    <xf numFmtId="0" fontId="0" fillId="0" borderId="0" xfId="0" applyFont="1" applyFill="1"/>
    <xf numFmtId="14" fontId="0" fillId="0" borderId="0" xfId="0" applyNumberFormat="1" applyFont="1" applyBorder="1" applyAlignment="1">
      <alignment horizontal="left"/>
    </xf>
    <xf numFmtId="0" fontId="8" fillId="0" borderId="3" xfId="0" applyFont="1" applyBorder="1" applyAlignment="1">
      <alignment horizontal="left" wrapText="1"/>
    </xf>
    <xf numFmtId="49" fontId="0" fillId="0" borderId="0" xfId="0" applyNumberFormat="1" applyFont="1"/>
    <xf numFmtId="49" fontId="0" fillId="0" borderId="1" xfId="0" applyNumberFormat="1" applyFont="1" applyBorder="1"/>
    <xf numFmtId="0" fontId="1" fillId="0" borderId="0" xfId="0" applyFont="1" applyBorder="1" applyAlignment="1">
      <alignment vertical="top" wrapText="1"/>
    </xf>
    <xf numFmtId="0" fontId="0" fillId="0" borderId="15" xfId="0" applyFont="1" applyBorder="1"/>
    <xf numFmtId="0" fontId="0" fillId="0" borderId="16" xfId="0" applyFont="1" applyBorder="1"/>
    <xf numFmtId="0" fontId="2" fillId="0" borderId="0" xfId="0" applyFont="1" applyAlignment="1">
      <alignment vertical="center" wrapText="1"/>
    </xf>
    <xf numFmtId="0" fontId="3" fillId="0" borderId="0" xfId="0" applyFont="1" applyAlignment="1">
      <alignment vertical="center" wrapText="1"/>
    </xf>
    <xf numFmtId="0" fontId="0" fillId="0" borderId="0" xfId="0" applyAlignment="1">
      <alignment wrapText="1"/>
    </xf>
    <xf numFmtId="0" fontId="0" fillId="0" borderId="0" xfId="0" applyAlignment="1">
      <alignment vertical="top" wrapText="1"/>
    </xf>
    <xf numFmtId="0" fontId="0" fillId="0" borderId="0" xfId="0" applyFont="1" applyAlignment="1">
      <alignment vertical="top" wrapText="1"/>
    </xf>
    <xf numFmtId="0" fontId="0" fillId="0" borderId="0" xfId="0" applyAlignment="1">
      <alignment horizontal="left" wrapText="1"/>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14" xfId="0" applyFont="1" applyFill="1" applyBorder="1" applyAlignment="1">
      <alignment horizontal="left" vertical="top" wrapText="1"/>
    </xf>
    <xf numFmtId="0" fontId="1" fillId="2" borderId="5" xfId="0" applyFont="1" applyFill="1" applyBorder="1" applyAlignment="1">
      <alignment horizontal="left" vertical="top" wrapText="1"/>
    </xf>
    <xf numFmtId="0" fontId="1" fillId="2" borderId="0" xfId="0" applyFont="1" applyFill="1" applyBorder="1" applyAlignment="1">
      <alignment horizontal="left" vertical="top" wrapText="1"/>
    </xf>
    <xf numFmtId="0" fontId="1" fillId="2" borderId="6" xfId="0" applyFont="1" applyFill="1" applyBorder="1" applyAlignment="1">
      <alignment horizontal="left" vertical="top" wrapText="1"/>
    </xf>
    <xf numFmtId="0" fontId="6" fillId="2" borderId="5" xfId="1" applyFill="1" applyBorder="1" applyAlignment="1">
      <alignment horizontal="left" vertical="top" wrapText="1"/>
    </xf>
    <xf numFmtId="0" fontId="6" fillId="2" borderId="0" xfId="1" applyFill="1" applyBorder="1" applyAlignment="1">
      <alignment horizontal="left" vertical="top" wrapText="1"/>
    </xf>
    <xf numFmtId="0" fontId="6" fillId="2" borderId="6" xfId="1" applyFill="1" applyBorder="1" applyAlignment="1">
      <alignment horizontal="left" vertical="top" wrapText="1"/>
    </xf>
    <xf numFmtId="0" fontId="6" fillId="2" borderId="7" xfId="1" applyFill="1" applyBorder="1" applyAlignment="1">
      <alignment horizontal="left" vertical="top" wrapText="1"/>
    </xf>
    <xf numFmtId="0" fontId="6" fillId="2" borderId="8" xfId="1" applyFill="1" applyBorder="1" applyAlignment="1">
      <alignment horizontal="left" vertical="top" wrapText="1"/>
    </xf>
    <xf numFmtId="0" fontId="6" fillId="2" borderId="9" xfId="1" applyFill="1" applyBorder="1" applyAlignment="1">
      <alignment horizontal="left" vertical="top" wrapText="1"/>
    </xf>
    <xf numFmtId="0" fontId="1" fillId="0" borderId="2" xfId="0" applyFont="1" applyBorder="1" applyAlignment="1">
      <alignment horizontal="center" wrapText="1"/>
    </xf>
    <xf numFmtId="0" fontId="1" fillId="0" borderId="3" xfId="0" applyFont="1" applyBorder="1" applyAlignment="1">
      <alignment horizontal="center" wrapText="1"/>
    </xf>
    <xf numFmtId="0" fontId="1" fillId="0" borderId="4" xfId="0" applyFont="1" applyBorder="1" applyAlignment="1">
      <alignment horizontal="center" wrapText="1"/>
    </xf>
    <xf numFmtId="0" fontId="1" fillId="2" borderId="2" xfId="0" applyFont="1" applyFill="1" applyBorder="1" applyAlignment="1">
      <alignment horizontal="center"/>
    </xf>
    <xf numFmtId="0" fontId="1" fillId="2" borderId="3" xfId="0" applyFont="1" applyFill="1" applyBorder="1" applyAlignment="1">
      <alignment horizontal="center"/>
    </xf>
    <xf numFmtId="0" fontId="1" fillId="2" borderId="4" xfId="0" applyFont="1" applyFill="1" applyBorder="1" applyAlignment="1">
      <alignment horizontal="center"/>
    </xf>
    <xf numFmtId="0" fontId="0" fillId="2" borderId="17" xfId="0" applyFont="1" applyFill="1" applyBorder="1" applyAlignment="1">
      <alignment horizontal="left" vertical="top" wrapText="1"/>
    </xf>
    <xf numFmtId="0" fontId="0" fillId="2" borderId="18" xfId="0" applyFont="1" applyFill="1" applyBorder="1" applyAlignment="1">
      <alignment horizontal="left" vertical="top" wrapText="1"/>
    </xf>
    <xf numFmtId="0" fontId="0" fillId="2" borderId="19" xfId="0" applyFont="1" applyFill="1" applyBorder="1" applyAlignment="1">
      <alignment horizontal="left" vertical="top" wrapText="1"/>
    </xf>
    <xf numFmtId="0" fontId="0" fillId="2" borderId="5" xfId="0" applyFont="1" applyFill="1" applyBorder="1" applyAlignment="1">
      <alignment horizontal="left" vertical="top" wrapText="1"/>
    </xf>
    <xf numFmtId="0" fontId="0" fillId="2" borderId="0" xfId="0" applyFont="1" applyFill="1" applyBorder="1" applyAlignment="1">
      <alignment horizontal="left" vertical="top" wrapText="1"/>
    </xf>
    <xf numFmtId="0" fontId="0" fillId="2" borderId="6" xfId="0" applyFont="1" applyFill="1" applyBorder="1" applyAlignment="1">
      <alignment horizontal="left" vertical="top" wrapText="1"/>
    </xf>
    <xf numFmtId="0" fontId="0" fillId="2" borderId="20" xfId="0" applyFont="1" applyFill="1" applyBorder="1" applyAlignment="1">
      <alignment horizontal="left" vertical="top" wrapText="1"/>
    </xf>
    <xf numFmtId="0" fontId="0" fillId="2" borderId="21" xfId="0" applyFont="1" applyFill="1" applyBorder="1" applyAlignment="1">
      <alignment horizontal="left" vertical="top" wrapText="1"/>
    </xf>
    <xf numFmtId="0" fontId="0" fillId="2" borderId="22" xfId="0" applyFont="1" applyFill="1" applyBorder="1" applyAlignment="1">
      <alignment horizontal="left" vertical="top" wrapText="1"/>
    </xf>
    <xf numFmtId="0" fontId="0" fillId="2" borderId="5" xfId="0" applyFont="1" applyFill="1" applyBorder="1" applyAlignment="1">
      <alignment horizontal="center" vertical="top" wrapText="1"/>
    </xf>
    <xf numFmtId="0" fontId="0" fillId="2" borderId="0" xfId="0" applyFont="1" applyFill="1" applyBorder="1" applyAlignment="1">
      <alignment horizontal="center" vertical="top" wrapText="1"/>
    </xf>
    <xf numFmtId="0" fontId="0" fillId="2" borderId="6" xfId="0" applyFont="1" applyFill="1" applyBorder="1" applyAlignment="1">
      <alignment horizontal="center" vertical="top" wrapText="1"/>
    </xf>
    <xf numFmtId="0" fontId="0" fillId="2" borderId="7" xfId="0" applyFont="1" applyFill="1" applyBorder="1" applyAlignment="1">
      <alignment horizontal="center" vertical="top" wrapText="1"/>
    </xf>
    <xf numFmtId="0" fontId="0" fillId="2" borderId="8" xfId="0" applyFont="1" applyFill="1" applyBorder="1" applyAlignment="1">
      <alignment horizontal="center" vertical="top" wrapText="1"/>
    </xf>
    <xf numFmtId="0" fontId="0" fillId="2" borderId="9" xfId="0" applyFont="1" applyFill="1" applyBorder="1" applyAlignment="1">
      <alignment horizontal="center" vertical="top" wrapText="1"/>
    </xf>
    <xf numFmtId="0" fontId="0" fillId="0" borderId="6"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colors>
    <mruColors>
      <color rgb="FFF2FCFA"/>
      <color rgb="FFFCFFFF"/>
      <color rgb="FFF5FFFF"/>
      <color rgb="FFF8F8F8"/>
      <color rgb="FF3066F0"/>
      <color rgb="FF44AADE"/>
      <color rgb="FF37BC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9</xdr:col>
      <xdr:colOff>393700</xdr:colOff>
      <xdr:row>3</xdr:row>
      <xdr:rowOff>495299</xdr:rowOff>
    </xdr:to>
    <xdr:pic>
      <xdr:nvPicPr>
        <xdr:cNvPr id="4" name="Picture 3">
          <a:extLst>
            <a:ext uri="{FF2B5EF4-FFF2-40B4-BE49-F238E27FC236}">
              <a16:creationId xmlns:a16="http://schemas.microsoft.com/office/drawing/2014/main" id="{4486ADE8-3838-734F-A678-CC6CDE397901}"/>
            </a:ext>
          </a:extLst>
        </xdr:cNvPr>
        <xdr:cNvPicPr>
          <a:picLocks noChangeAspect="1"/>
        </xdr:cNvPicPr>
      </xdr:nvPicPr>
      <xdr:blipFill>
        <a:blip xmlns:r="http://schemas.openxmlformats.org/officeDocument/2006/relationships" r:embed="rId1"/>
        <a:stretch>
          <a:fillRect/>
        </a:stretch>
      </xdr:blipFill>
      <xdr:spPr>
        <a:xfrm>
          <a:off x="673100" y="939800"/>
          <a:ext cx="8242300" cy="2374899"/>
        </a:xfrm>
        <a:prstGeom prst="rect">
          <a:avLst/>
        </a:prstGeom>
        <a:ln>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212090</xdr:colOff>
      <xdr:row>21</xdr:row>
      <xdr:rowOff>148590</xdr:rowOff>
    </xdr:from>
    <xdr:to>
      <xdr:col>6</xdr:col>
      <xdr:colOff>25400</xdr:colOff>
      <xdr:row>23</xdr:row>
      <xdr:rowOff>60325</xdr:rowOff>
    </xdr:to>
    <xdr:sp macro="[0]!AddSubject_Click" textlink="">
      <xdr:nvSpPr>
        <xdr:cNvPr id="4" name="Rounded Rectangle 3">
          <a:extLst>
            <a:ext uri="{FF2B5EF4-FFF2-40B4-BE49-F238E27FC236}">
              <a16:creationId xmlns:a16="http://schemas.microsoft.com/office/drawing/2014/main" id="{00000000-0008-0000-0100-000004000000}"/>
            </a:ext>
          </a:extLst>
        </xdr:cNvPr>
        <xdr:cNvSpPr/>
      </xdr:nvSpPr>
      <xdr:spPr>
        <a:xfrm>
          <a:off x="4136390" y="4695190"/>
          <a:ext cx="1438910" cy="34353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6</xdr:col>
      <xdr:colOff>292100</xdr:colOff>
      <xdr:row>26</xdr:row>
      <xdr:rowOff>53340</xdr:rowOff>
    </xdr:from>
    <xdr:to>
      <xdr:col>6</xdr:col>
      <xdr:colOff>1645920</xdr:colOff>
      <xdr:row>27</xdr:row>
      <xdr:rowOff>175260</xdr:rowOff>
    </xdr:to>
    <xdr:sp macro="[0]!AddAccrual_Click" textlink="">
      <xdr:nvSpPr>
        <xdr:cNvPr id="5" name="Rounded Rectangle 4">
          <a:extLst>
            <a:ext uri="{FF2B5EF4-FFF2-40B4-BE49-F238E27FC236}">
              <a16:creationId xmlns:a16="http://schemas.microsoft.com/office/drawing/2014/main" id="{00000000-0008-0000-0100-000005000000}"/>
            </a:ext>
          </a:extLst>
        </xdr:cNvPr>
        <xdr:cNvSpPr/>
      </xdr:nvSpPr>
      <xdr:spPr>
        <a:xfrm>
          <a:off x="5842000" y="1793240"/>
          <a:ext cx="1353820" cy="3251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Accrual</a:t>
          </a:r>
        </a:p>
      </xdr:txBody>
    </xdr:sp>
    <xdr:clientData/>
  </xdr:twoCellAnchor>
  <xdr:twoCellAnchor>
    <xdr:from>
      <xdr:col>2</xdr:col>
      <xdr:colOff>1892300</xdr:colOff>
      <xdr:row>61</xdr:row>
      <xdr:rowOff>26034</xdr:rowOff>
    </xdr:from>
    <xdr:to>
      <xdr:col>5</xdr:col>
      <xdr:colOff>202565</xdr:colOff>
      <xdr:row>63</xdr:row>
      <xdr:rowOff>76199</xdr:rowOff>
    </xdr:to>
    <xdr:sp macro="[0]!ClearData_Click" textlink="">
      <xdr:nvSpPr>
        <xdr:cNvPr id="6" name="Rounded Rectangle 5">
          <a:extLst>
            <a:ext uri="{FF2B5EF4-FFF2-40B4-BE49-F238E27FC236}">
              <a16:creationId xmlns:a16="http://schemas.microsoft.com/office/drawing/2014/main" id="{00000000-0008-0000-0100-000006000000}"/>
            </a:ext>
          </a:extLst>
        </xdr:cNvPr>
        <xdr:cNvSpPr/>
      </xdr:nvSpPr>
      <xdr:spPr>
        <a:xfrm>
          <a:off x="2324100" y="8522334"/>
          <a:ext cx="2755265" cy="43116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Clear Data</a:t>
          </a:r>
        </a:p>
      </xdr:txBody>
    </xdr:sp>
    <xdr:clientData/>
  </xdr:twoCellAnchor>
  <xdr:twoCellAnchor>
    <xdr:from>
      <xdr:col>2</xdr:col>
      <xdr:colOff>876300</xdr:colOff>
      <xdr:row>5</xdr:row>
      <xdr:rowOff>38100</xdr:rowOff>
    </xdr:from>
    <xdr:to>
      <xdr:col>3</xdr:col>
      <xdr:colOff>1143001</xdr:colOff>
      <xdr:row>5</xdr:row>
      <xdr:rowOff>523876</xdr:rowOff>
    </xdr:to>
    <xdr:sp macro="[0]!ShowNonIndustrialTrial_Click" textlink="">
      <xdr:nvSpPr>
        <xdr:cNvPr id="7" name="Rounded Rectangle 6">
          <a:extLst>
            <a:ext uri="{FF2B5EF4-FFF2-40B4-BE49-F238E27FC236}">
              <a16:creationId xmlns:a16="http://schemas.microsoft.com/office/drawing/2014/main" id="{00000000-0008-0000-0100-000007000000}"/>
            </a:ext>
          </a:extLst>
        </xdr:cNvPr>
        <xdr:cNvSpPr/>
      </xdr:nvSpPr>
      <xdr:spPr>
        <a:xfrm>
          <a:off x="1308100" y="812800"/>
          <a:ext cx="2286001"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Subject Level Accrual</a:t>
          </a:r>
        </a:p>
      </xdr:txBody>
    </xdr:sp>
    <xdr:clientData/>
  </xdr:twoCellAnchor>
  <xdr:twoCellAnchor>
    <xdr:from>
      <xdr:col>3</xdr:col>
      <xdr:colOff>1450975</xdr:colOff>
      <xdr:row>5</xdr:row>
      <xdr:rowOff>47625</xdr:rowOff>
    </xdr:from>
    <xdr:to>
      <xdr:col>6</xdr:col>
      <xdr:colOff>635000</xdr:colOff>
      <xdr:row>5</xdr:row>
      <xdr:rowOff>533401</xdr:rowOff>
    </xdr:to>
    <xdr:sp macro="[0]!ShowIndustrialTrial_Click" textlink="">
      <xdr:nvSpPr>
        <xdr:cNvPr id="8" name="Rounded Rectangle 7">
          <a:extLst>
            <a:ext uri="{FF2B5EF4-FFF2-40B4-BE49-F238E27FC236}">
              <a16:creationId xmlns:a16="http://schemas.microsoft.com/office/drawing/2014/main" id="{00000000-0008-0000-0100-000008000000}"/>
            </a:ext>
          </a:extLst>
        </xdr:cNvPr>
        <xdr:cNvSpPr/>
      </xdr:nvSpPr>
      <xdr:spPr>
        <a:xfrm>
          <a:off x="3902075" y="822325"/>
          <a:ext cx="2282825"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Summary Level Accrual</a:t>
          </a:r>
        </a:p>
      </xdr:txBody>
    </xdr:sp>
    <xdr:clientData/>
  </xdr:twoCellAnchor>
  <xdr:twoCellAnchor>
    <xdr:from>
      <xdr:col>2</xdr:col>
      <xdr:colOff>1889125</xdr:colOff>
      <xdr:row>64</xdr:row>
      <xdr:rowOff>152400</xdr:rowOff>
    </xdr:from>
    <xdr:to>
      <xdr:col>5</xdr:col>
      <xdr:colOff>199390</xdr:colOff>
      <xdr:row>66</xdr:row>
      <xdr:rowOff>182303</xdr:rowOff>
    </xdr:to>
    <xdr:sp macro="[0]!Random_Click" textlink="">
      <xdr:nvSpPr>
        <xdr:cNvPr id="9" name="Rounded Rectangle 8">
          <a:extLst>
            <a:ext uri="{FF2B5EF4-FFF2-40B4-BE49-F238E27FC236}">
              <a16:creationId xmlns:a16="http://schemas.microsoft.com/office/drawing/2014/main" id="{00000000-0008-0000-0100-000009000000}"/>
            </a:ext>
          </a:extLst>
        </xdr:cNvPr>
        <xdr:cNvSpPr/>
      </xdr:nvSpPr>
      <xdr:spPr>
        <a:xfrm>
          <a:off x="2320925" y="9220200"/>
          <a:ext cx="2755265" cy="41090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Random Data </a:t>
          </a:r>
        </a:p>
      </xdr:txBody>
    </xdr:sp>
    <xdr:clientData/>
  </xdr:twoCellAnchor>
  <xdr:twoCellAnchor>
    <xdr:from>
      <xdr:col>2</xdr:col>
      <xdr:colOff>609600</xdr:colOff>
      <xdr:row>37</xdr:row>
      <xdr:rowOff>127000</xdr:rowOff>
    </xdr:from>
    <xdr:to>
      <xdr:col>6</xdr:col>
      <xdr:colOff>800100</xdr:colOff>
      <xdr:row>48</xdr:row>
      <xdr:rowOff>163824</xdr:rowOff>
    </xdr:to>
    <xdr:pic>
      <xdr:nvPicPr>
        <xdr:cNvPr id="3" name="Picture 2">
          <a:extLst>
            <a:ext uri="{FF2B5EF4-FFF2-40B4-BE49-F238E27FC236}">
              <a16:creationId xmlns:a16="http://schemas.microsoft.com/office/drawing/2014/main" id="{98E8FB0B-2E99-E844-AA27-D127ED1A4AD8}"/>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6000"/>
                  </a14:imgEffect>
                </a14:imgLayer>
              </a14:imgProps>
            </a:ext>
          </a:extLst>
        </a:blip>
        <a:stretch>
          <a:fillRect/>
        </a:stretch>
      </xdr:blipFill>
      <xdr:spPr>
        <a:xfrm>
          <a:off x="1041400" y="4025900"/>
          <a:ext cx="5308600" cy="2132324"/>
        </a:xfrm>
        <a:prstGeom prst="rect">
          <a:avLst/>
        </a:prstGeom>
        <a:effectLst>
          <a:glow rad="63500">
            <a:schemeClr val="tx1">
              <a:alpha val="85000"/>
            </a:schemeClr>
          </a:glow>
        </a:effec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426719</xdr:colOff>
      <xdr:row>1</xdr:row>
      <xdr:rowOff>131444</xdr:rowOff>
    </xdr:from>
    <xdr:to>
      <xdr:col>4</xdr:col>
      <xdr:colOff>114300</xdr:colOff>
      <xdr:row>7</xdr:row>
      <xdr:rowOff>88900</xdr:rowOff>
    </xdr:to>
    <xdr:sp macro="[0]!ExportNonIndustrial_Click" textlink="">
      <xdr:nvSpPr>
        <xdr:cNvPr id="2" name="Rounded Rectangle 1">
          <a:extLst>
            <a:ext uri="{FF2B5EF4-FFF2-40B4-BE49-F238E27FC236}">
              <a16:creationId xmlns:a16="http://schemas.microsoft.com/office/drawing/2014/main" id="{00000000-0008-0000-0600-000002000000}"/>
            </a:ext>
          </a:extLst>
        </xdr:cNvPr>
        <xdr:cNvSpPr/>
      </xdr:nvSpPr>
      <xdr:spPr>
        <a:xfrm>
          <a:off x="426719" y="321944"/>
          <a:ext cx="2379981" cy="110045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Subject Level  </a:t>
          </a:r>
        </a:p>
        <a:p>
          <a:pPr algn="ctr"/>
          <a:r>
            <a:rPr lang="en-US" sz="1600" b="1"/>
            <a:t>Accrual Data</a:t>
          </a:r>
        </a:p>
      </xdr:txBody>
    </xdr:sp>
    <xdr:clientData/>
  </xdr:twoCellAnchor>
  <xdr:twoCellAnchor>
    <xdr:from>
      <xdr:col>4</xdr:col>
      <xdr:colOff>546100</xdr:colOff>
      <xdr:row>1</xdr:row>
      <xdr:rowOff>133350</xdr:rowOff>
    </xdr:from>
    <xdr:to>
      <xdr:col>8</xdr:col>
      <xdr:colOff>228600</xdr:colOff>
      <xdr:row>7</xdr:row>
      <xdr:rowOff>88900</xdr:rowOff>
    </xdr:to>
    <xdr:sp macro="[0]!ExportIndustrial_Click" textlink="">
      <xdr:nvSpPr>
        <xdr:cNvPr id="5" name="Rounded Rectangle 4">
          <a:extLst>
            <a:ext uri="{FF2B5EF4-FFF2-40B4-BE49-F238E27FC236}">
              <a16:creationId xmlns:a16="http://schemas.microsoft.com/office/drawing/2014/main" id="{00000000-0008-0000-0600-000005000000}"/>
            </a:ext>
          </a:extLst>
        </xdr:cNvPr>
        <xdr:cNvSpPr/>
      </xdr:nvSpPr>
      <xdr:spPr>
        <a:xfrm>
          <a:off x="3238500" y="323850"/>
          <a:ext cx="2374900" cy="10985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Summary Level </a:t>
          </a:r>
        </a:p>
        <a:p>
          <a:pPr algn="ctr"/>
          <a:r>
            <a:rPr lang="en-US" sz="1600" b="1"/>
            <a:t>Accrual Data</a:t>
          </a:r>
        </a:p>
      </xdr:txBody>
    </xdr:sp>
    <xdr:clientData/>
  </xdr:twoCellAnchor>
  <xdr:twoCellAnchor>
    <xdr:from>
      <xdr:col>2</xdr:col>
      <xdr:colOff>609600</xdr:colOff>
      <xdr:row>10</xdr:row>
      <xdr:rowOff>6350</xdr:rowOff>
    </xdr:from>
    <xdr:to>
      <xdr:col>6</xdr:col>
      <xdr:colOff>12700</xdr:colOff>
      <xdr:row>16</xdr:row>
      <xdr:rowOff>0</xdr:rowOff>
    </xdr:to>
    <xdr:sp macro="[0]!ClearAllData_Click" textlink="">
      <xdr:nvSpPr>
        <xdr:cNvPr id="6" name="Rounded Rectangle 5">
          <a:extLst>
            <a:ext uri="{FF2B5EF4-FFF2-40B4-BE49-F238E27FC236}">
              <a16:creationId xmlns:a16="http://schemas.microsoft.com/office/drawing/2014/main" id="{00000000-0008-0000-0600-000006000000}"/>
            </a:ext>
          </a:extLst>
        </xdr:cNvPr>
        <xdr:cNvSpPr/>
      </xdr:nvSpPr>
      <xdr:spPr>
        <a:xfrm>
          <a:off x="1955800" y="1911350"/>
          <a:ext cx="2095500" cy="11366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Clear All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wiki.nci.nih.gov/display/CTRP/2018-12-04+User+Call+Meeting+Minutes?preview=/388041646/388041645/2018-12-04_CTRP_DT4_User%20Call.pdf."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E28"/>
  <sheetViews>
    <sheetView workbookViewId="0">
      <pane ySplit="1" topLeftCell="A4" activePane="bottomLeft" state="frozen"/>
      <selection pane="bottomLeft" activeCell="B22" sqref="B22:E22"/>
    </sheetView>
  </sheetViews>
  <sheetFormatPr baseColWidth="10" defaultColWidth="8.83203125" defaultRowHeight="15"/>
  <cols>
    <col min="2" max="2" width="20.5" customWidth="1"/>
    <col min="3" max="3" width="19.5" customWidth="1"/>
    <col min="4" max="4" width="10.6640625" bestFit="1" customWidth="1"/>
    <col min="5" max="5" width="17" bestFit="1" customWidth="1"/>
  </cols>
  <sheetData>
    <row r="1" spans="2:5" s="11" customFormat="1" ht="74.25" customHeight="1">
      <c r="B1" s="66" t="s">
        <v>276</v>
      </c>
      <c r="C1" s="67"/>
      <c r="D1" s="67"/>
      <c r="E1" s="68"/>
    </row>
    <row r="2" spans="2:5" s="32" customFormat="1" ht="74.25" customHeight="1">
      <c r="B2" s="30"/>
      <c r="C2" s="31"/>
      <c r="D2" s="31"/>
    </row>
    <row r="3" spans="2:5" s="32" customFormat="1" ht="74.25" customHeight="1">
      <c r="B3" s="30"/>
      <c r="C3" s="31"/>
      <c r="D3" s="31"/>
    </row>
    <row r="4" spans="2:5" s="32" customFormat="1" ht="74.25" customHeight="1">
      <c r="B4" s="30"/>
      <c r="C4" s="31"/>
      <c r="D4" s="31"/>
    </row>
    <row r="5" spans="2:5">
      <c r="B5" s="12" t="s">
        <v>280</v>
      </c>
      <c r="C5" s="12" t="s">
        <v>277</v>
      </c>
      <c r="D5" s="12" t="s">
        <v>281</v>
      </c>
      <c r="E5" s="12" t="s">
        <v>282</v>
      </c>
    </row>
    <row r="6" spans="2:5">
      <c r="B6" s="14" t="s">
        <v>283</v>
      </c>
      <c r="C6" s="13" t="s">
        <v>284</v>
      </c>
      <c r="D6" s="15">
        <v>41175</v>
      </c>
      <c r="E6" s="13" t="s">
        <v>285</v>
      </c>
    </row>
    <row r="7" spans="2:5">
      <c r="B7" s="14" t="s">
        <v>306</v>
      </c>
      <c r="C7" s="13" t="s">
        <v>307</v>
      </c>
      <c r="D7" s="15">
        <v>41192</v>
      </c>
      <c r="E7" s="13" t="s">
        <v>285</v>
      </c>
    </row>
    <row r="8" spans="2:5">
      <c r="B8" s="14" t="s">
        <v>310</v>
      </c>
      <c r="C8" s="13" t="s">
        <v>307</v>
      </c>
      <c r="D8" s="15">
        <v>41199</v>
      </c>
      <c r="E8" s="13" t="s">
        <v>285</v>
      </c>
    </row>
    <row r="9" spans="2:5" ht="16">
      <c r="B9" s="25" t="s">
        <v>311</v>
      </c>
      <c r="C9" s="26" t="s">
        <v>312</v>
      </c>
      <c r="D9" s="27">
        <v>41243</v>
      </c>
      <c r="E9" s="26" t="s">
        <v>285</v>
      </c>
    </row>
    <row r="10" spans="2:5" ht="32">
      <c r="B10" s="33" t="s">
        <v>314</v>
      </c>
      <c r="C10" s="34" t="s">
        <v>315</v>
      </c>
      <c r="D10" s="35">
        <v>41269</v>
      </c>
      <c r="E10" s="34" t="s">
        <v>285</v>
      </c>
    </row>
    <row r="11" spans="2:5" ht="48">
      <c r="B11" s="25" t="s">
        <v>332</v>
      </c>
      <c r="C11" s="26" t="s">
        <v>347</v>
      </c>
      <c r="D11" s="27">
        <v>42296</v>
      </c>
      <c r="E11" s="26" t="s">
        <v>333</v>
      </c>
    </row>
    <row r="12" spans="2:5" ht="16">
      <c r="B12" s="25" t="s">
        <v>335</v>
      </c>
      <c r="C12" s="26" t="s">
        <v>336</v>
      </c>
      <c r="D12" s="27">
        <v>42985</v>
      </c>
      <c r="E12" s="26" t="s">
        <v>337</v>
      </c>
    </row>
    <row r="13" spans="2:5" ht="32">
      <c r="B13" s="25" t="s">
        <v>341</v>
      </c>
      <c r="C13" s="26" t="s">
        <v>342</v>
      </c>
      <c r="D13" s="27">
        <v>42989</v>
      </c>
      <c r="E13" s="26" t="s">
        <v>337</v>
      </c>
    </row>
    <row r="14" spans="2:5" ht="32">
      <c r="B14" s="25" t="s">
        <v>343</v>
      </c>
      <c r="C14" s="26" t="s">
        <v>344</v>
      </c>
      <c r="D14" s="27">
        <v>43139</v>
      </c>
      <c r="E14" s="26" t="s">
        <v>337</v>
      </c>
    </row>
    <row r="15" spans="2:5" ht="78" customHeight="1">
      <c r="B15" s="25" t="s">
        <v>345</v>
      </c>
      <c r="C15" s="26" t="s">
        <v>346</v>
      </c>
      <c r="D15" s="27">
        <v>43433</v>
      </c>
      <c r="E15" s="26" t="s">
        <v>333</v>
      </c>
    </row>
    <row r="16" spans="2:5" ht="78" customHeight="1">
      <c r="B16" s="25" t="s">
        <v>350</v>
      </c>
      <c r="C16" s="26" t="s">
        <v>351</v>
      </c>
      <c r="D16" s="27">
        <v>43686</v>
      </c>
      <c r="E16" s="26" t="s">
        <v>352</v>
      </c>
    </row>
    <row r="18" spans="2:5" ht="19">
      <c r="B18" s="10" t="s">
        <v>277</v>
      </c>
    </row>
    <row r="19" spans="2:5" s="16" customFormat="1" ht="124.5" customHeight="1">
      <c r="B19" s="69" t="s">
        <v>286</v>
      </c>
      <c r="C19" s="70"/>
      <c r="D19" s="70"/>
      <c r="E19" s="70"/>
    </row>
    <row r="21" spans="2:5" ht="19">
      <c r="B21" s="10" t="s">
        <v>278</v>
      </c>
    </row>
    <row r="22" spans="2:5" s="3" customFormat="1" ht="192" customHeight="1">
      <c r="B22" s="69" t="s">
        <v>305</v>
      </c>
      <c r="C22" s="70"/>
      <c r="D22" s="70"/>
      <c r="E22" s="70"/>
    </row>
    <row r="24" spans="2:5" ht="19">
      <c r="B24" s="10" t="s">
        <v>279</v>
      </c>
    </row>
    <row r="25" spans="2:5" s="1" customFormat="1" ht="123" customHeight="1">
      <c r="B25" s="69" t="s">
        <v>313</v>
      </c>
      <c r="C25" s="70"/>
      <c r="D25" s="70"/>
      <c r="E25" s="70"/>
    </row>
    <row r="27" spans="2:5" ht="19">
      <c r="B27" s="10" t="s">
        <v>316</v>
      </c>
    </row>
    <row r="28" spans="2:5" ht="50" customHeight="1">
      <c r="B28" s="71" t="s">
        <v>353</v>
      </c>
      <c r="C28" s="71"/>
      <c r="D28" s="71"/>
      <c r="E28" s="71"/>
    </row>
  </sheetData>
  <mergeCells count="5">
    <mergeCell ref="B1:E1"/>
    <mergeCell ref="B19:E19"/>
    <mergeCell ref="B22:E22"/>
    <mergeCell ref="B25:E25"/>
    <mergeCell ref="B28:E28"/>
  </mergeCells>
  <pageMargins left="0.7" right="0.7" top="0.75" bottom="0.75" header="0.3" footer="0.3"/>
  <pageSetup orientation="portrait"/>
  <ignoredErrors>
    <ignoredError sqref="B15 B6 B7:B11 B12:B14" numberStoredAsText="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T263"/>
  <sheetViews>
    <sheetView tabSelected="1" zoomScaleNormal="100" workbookViewId="0">
      <pane ySplit="1" topLeftCell="A2" activePane="bottomLeft" state="frozen"/>
      <selection pane="bottomLeft" activeCell="H10" sqref="H10"/>
    </sheetView>
  </sheetViews>
  <sheetFormatPr baseColWidth="10" defaultColWidth="8.83203125" defaultRowHeight="15" outlineLevelRow="1"/>
  <cols>
    <col min="1" max="1" width="4.33203125" style="3" customWidth="1"/>
    <col min="2" max="2" width="1.33203125" style="3" customWidth="1"/>
    <col min="3" max="3" width="26.5" style="1" bestFit="1" customWidth="1"/>
    <col min="4" max="4" width="19.33203125" style="38" customWidth="1"/>
    <col min="5" max="5" width="12.5" style="3" customWidth="1"/>
    <col min="6" max="6" width="8.83203125" style="3"/>
    <col min="7" max="8" width="25.5" style="3" customWidth="1"/>
    <col min="9" max="12" width="25.5" style="3" hidden="1" customWidth="1"/>
    <col min="13" max="13" width="40.1640625" style="3" hidden="1" customWidth="1"/>
    <col min="14" max="14" width="32.33203125" style="3" hidden="1" customWidth="1"/>
    <col min="15" max="15" width="25.5" style="3" hidden="1" customWidth="1"/>
    <col min="16" max="16384" width="8.83203125" style="3"/>
  </cols>
  <sheetData>
    <row r="1" spans="2:15" ht="7.25" customHeight="1" thickBot="1"/>
    <row r="2" spans="2:15" s="2" customFormat="1" ht="16" customHeight="1" thickTop="1">
      <c r="B2" s="84" t="s">
        <v>37</v>
      </c>
      <c r="C2" s="85"/>
      <c r="D2" s="85"/>
      <c r="E2" s="85"/>
      <c r="F2" s="85"/>
      <c r="G2" s="86"/>
      <c r="H2" s="7"/>
      <c r="J2" s="3"/>
    </row>
    <row r="3" spans="2:15" ht="16" thickBot="1">
      <c r="B3" s="39"/>
      <c r="C3" s="3" t="str">
        <f>CONCATENATE("*",Patients!A1)</f>
        <v>*Study Id</v>
      </c>
      <c r="D3" s="40"/>
      <c r="E3" s="3" t="str">
        <f>Collections!B1</f>
        <v>Change Code</v>
      </c>
      <c r="F3" s="62"/>
      <c r="G3" s="41"/>
      <c r="H3" s="42"/>
    </row>
    <row r="4" spans="2:15" ht="6" customHeight="1" thickTop="1" thickBot="1">
      <c r="B4" s="43"/>
      <c r="C4" s="5"/>
      <c r="D4" s="44"/>
      <c r="E4" s="5"/>
      <c r="F4" s="45"/>
      <c r="G4" s="46"/>
      <c r="H4" s="42"/>
    </row>
    <row r="5" spans="2:15" ht="16" thickTop="1">
      <c r="B5" s="42"/>
      <c r="C5" s="4"/>
      <c r="D5" s="47"/>
      <c r="E5" s="4"/>
      <c r="F5" s="42"/>
      <c r="G5" s="42"/>
      <c r="H5" s="42"/>
    </row>
    <row r="6" spans="2:15" ht="44.25" customHeight="1">
      <c r="B6" s="42"/>
      <c r="C6" s="22" t="s">
        <v>288</v>
      </c>
      <c r="D6" s="47"/>
      <c r="E6" s="4"/>
      <c r="F6" s="42"/>
      <c r="G6" s="42"/>
      <c r="H6" s="42"/>
      <c r="I6" s="2" t="str">
        <f>E3</f>
        <v>Change Code</v>
      </c>
      <c r="J6" s="1" t="str">
        <f>C11</f>
        <v>*Country of Residence</v>
      </c>
      <c r="K6" s="2" t="str">
        <f>C13</f>
        <v>*Gender of a Person</v>
      </c>
      <c r="L6" s="2" t="str">
        <f>C14</f>
        <v>*Ethnicity</v>
      </c>
      <c r="M6" s="2" t="str">
        <f>C15</f>
        <v>Payment Method</v>
      </c>
      <c r="N6" s="2" t="str">
        <f>C20</f>
        <v>*Race</v>
      </c>
      <c r="O6" s="1" t="s">
        <v>317</v>
      </c>
    </row>
    <row r="7" spans="2:15" ht="16" thickBot="1">
      <c r="D7" s="47"/>
      <c r="E7" s="1"/>
      <c r="F7" s="42"/>
      <c r="I7" s="61">
        <v>1</v>
      </c>
      <c r="J7" s="3" t="s">
        <v>38</v>
      </c>
      <c r="K7" s="61" t="s">
        <v>15</v>
      </c>
      <c r="L7" s="3" t="s">
        <v>18</v>
      </c>
      <c r="M7" s="3" t="s">
        <v>21</v>
      </c>
      <c r="N7" s="3" t="s">
        <v>33</v>
      </c>
      <c r="O7" s="3" t="s">
        <v>318</v>
      </c>
    </row>
    <row r="8" spans="2:15" ht="17" outlineLevel="1" thickTop="1">
      <c r="B8" s="48"/>
      <c r="C8" s="6"/>
      <c r="D8" s="37" t="s">
        <v>308</v>
      </c>
      <c r="E8" s="87" t="s">
        <v>348</v>
      </c>
      <c r="F8" s="88"/>
      <c r="G8" s="89"/>
      <c r="H8" s="4"/>
      <c r="I8" s="61">
        <v>2</v>
      </c>
      <c r="J8" s="3" t="s">
        <v>39</v>
      </c>
      <c r="K8" s="61" t="s">
        <v>14</v>
      </c>
      <c r="L8" s="3" t="s">
        <v>19</v>
      </c>
      <c r="M8" s="3" t="s">
        <v>22</v>
      </c>
      <c r="N8" s="3" t="s">
        <v>34</v>
      </c>
      <c r="O8" s="3" t="s">
        <v>320</v>
      </c>
    </row>
    <row r="9" spans="2:15" ht="16" customHeight="1" outlineLevel="1" thickBot="1">
      <c r="B9" s="39"/>
      <c r="C9" s="3" t="str">
        <f>CONCATENATE("*",Patients!B1)</f>
        <v xml:space="preserve">*Study Subject Identifier </v>
      </c>
      <c r="D9" s="40"/>
      <c r="E9" s="90" t="s">
        <v>356</v>
      </c>
      <c r="F9" s="91"/>
      <c r="G9" s="92"/>
      <c r="H9" s="42"/>
      <c r="J9" s="3" t="s">
        <v>40</v>
      </c>
      <c r="K9" s="61" t="s">
        <v>16</v>
      </c>
      <c r="L9" s="3" t="s">
        <v>20</v>
      </c>
      <c r="M9" s="3" t="s">
        <v>23</v>
      </c>
      <c r="N9" s="3" t="s">
        <v>35</v>
      </c>
      <c r="O9" s="3" t="s">
        <v>319</v>
      </c>
    </row>
    <row r="10" spans="2:15" ht="17" outlineLevel="1" thickTop="1" thickBot="1">
      <c r="B10" s="39"/>
      <c r="C10" s="3" t="str">
        <f>CONCATENATE("*",Patients!C1)</f>
        <v>*Zip Code (if US)</v>
      </c>
      <c r="D10" s="49"/>
      <c r="E10" s="93"/>
      <c r="F10" s="94"/>
      <c r="G10" s="95"/>
      <c r="H10" s="42"/>
      <c r="J10" s="3" t="s">
        <v>41</v>
      </c>
      <c r="K10" s="61" t="s">
        <v>17</v>
      </c>
      <c r="L10" s="3" t="s">
        <v>16</v>
      </c>
      <c r="M10" s="3" t="s">
        <v>24</v>
      </c>
      <c r="N10" s="3" t="s">
        <v>36</v>
      </c>
      <c r="O10" s="3" t="s">
        <v>321</v>
      </c>
    </row>
    <row r="11" spans="2:15" ht="17" outlineLevel="1" thickTop="1" thickBot="1">
      <c r="B11" s="39"/>
      <c r="C11" s="3" t="str">
        <f>CONCATENATE("*",Patients!D1)</f>
        <v>*Country of Residence</v>
      </c>
      <c r="D11" s="40"/>
      <c r="E11" s="93"/>
      <c r="F11" s="94"/>
      <c r="G11" s="95"/>
      <c r="H11" s="42"/>
      <c r="J11" s="3" t="s">
        <v>42</v>
      </c>
      <c r="M11" s="3" t="s">
        <v>25</v>
      </c>
      <c r="N11" s="3" t="s">
        <v>20</v>
      </c>
    </row>
    <row r="12" spans="2:15" ht="17" outlineLevel="1" thickTop="1" thickBot="1">
      <c r="B12" s="39"/>
      <c r="C12" s="3" t="str">
        <f>CONCATENATE("*",Patients!E1)</f>
        <v>*Patient’s Date of Birth</v>
      </c>
      <c r="D12" s="50"/>
      <c r="E12" s="93"/>
      <c r="F12" s="94"/>
      <c r="G12" s="95"/>
      <c r="H12" s="42"/>
      <c r="J12" s="3" t="s">
        <v>43</v>
      </c>
      <c r="M12" s="3" t="s">
        <v>287</v>
      </c>
      <c r="N12" s="3" t="s">
        <v>16</v>
      </c>
    </row>
    <row r="13" spans="2:15" ht="17" outlineLevel="1" thickTop="1" thickBot="1">
      <c r="B13" s="39"/>
      <c r="C13" s="3" t="str">
        <f>CONCATENATE("*",Patients!F1)</f>
        <v>*Gender of a Person</v>
      </c>
      <c r="D13" s="40"/>
      <c r="E13" s="93"/>
      <c r="F13" s="94"/>
      <c r="G13" s="95"/>
      <c r="H13" s="42"/>
      <c r="J13" s="3" t="s">
        <v>44</v>
      </c>
      <c r="M13" s="3" t="s">
        <v>26</v>
      </c>
      <c r="N13" s="3" t="s">
        <v>340</v>
      </c>
    </row>
    <row r="14" spans="2:15" ht="17" outlineLevel="1" thickTop="1" thickBot="1">
      <c r="B14" s="39"/>
      <c r="C14" s="3" t="str">
        <f>CONCATENATE("*",Patients!G1)</f>
        <v>*Ethnicity</v>
      </c>
      <c r="D14" s="52"/>
      <c r="E14" s="93"/>
      <c r="F14" s="94"/>
      <c r="G14" s="95"/>
      <c r="H14" s="42"/>
      <c r="J14" s="3" t="s">
        <v>45</v>
      </c>
      <c r="M14" s="3" t="s">
        <v>27</v>
      </c>
    </row>
    <row r="15" spans="2:15" ht="17" outlineLevel="1" thickTop="1" thickBot="1">
      <c r="B15" s="39"/>
      <c r="C15" s="3" t="str">
        <f>Patients!H1</f>
        <v>Payment Method</v>
      </c>
      <c r="D15" s="51"/>
      <c r="E15" s="93"/>
      <c r="F15" s="94"/>
      <c r="G15" s="95"/>
      <c r="H15" s="42"/>
      <c r="J15" s="3" t="s">
        <v>46</v>
      </c>
      <c r="M15" s="3" t="s">
        <v>28</v>
      </c>
    </row>
    <row r="16" spans="2:15" ht="17" outlineLevel="1" thickTop="1" thickBot="1">
      <c r="B16" s="39"/>
      <c r="C16" s="3" t="str">
        <f>CONCATENATE("*",Patients!I1)</f>
        <v>*Subject Registration Date</v>
      </c>
      <c r="D16" s="52"/>
      <c r="E16" s="93"/>
      <c r="F16" s="94"/>
      <c r="G16" s="95"/>
      <c r="H16" s="42"/>
      <c r="J16" s="3" t="s">
        <v>47</v>
      </c>
      <c r="M16" s="3" t="s">
        <v>29</v>
      </c>
    </row>
    <row r="17" spans="2:20" ht="17" outlineLevel="1" thickTop="1" thickBot="1">
      <c r="B17" s="39"/>
      <c r="C17" s="3" t="str">
        <f>Patients!J1</f>
        <v>Registering Group Identifier</v>
      </c>
      <c r="D17" s="40"/>
      <c r="E17" s="93"/>
      <c r="F17" s="94"/>
      <c r="G17" s="95"/>
      <c r="H17" s="42"/>
      <c r="J17" s="3" t="s">
        <v>48</v>
      </c>
      <c r="M17" s="3" t="s">
        <v>30</v>
      </c>
      <c r="T17" s="64"/>
    </row>
    <row r="18" spans="2:20" ht="17" outlineLevel="1" thickTop="1" thickBot="1">
      <c r="B18" s="39"/>
      <c r="C18" s="3" t="str">
        <f>CONCATENATE("*",Patients!K1)</f>
        <v>*Study Site Identifier</v>
      </c>
      <c r="D18" s="40"/>
      <c r="E18" s="93"/>
      <c r="F18" s="94"/>
      <c r="G18" s="95"/>
      <c r="H18" s="42"/>
      <c r="J18" s="3" t="s">
        <v>49</v>
      </c>
      <c r="M18" s="3" t="s">
        <v>31</v>
      </c>
    </row>
    <row r="19" spans="2:20" ht="17" outlineLevel="1" thickTop="1" thickBot="1">
      <c r="B19" s="39"/>
      <c r="C19" s="3" t="str">
        <f>CONCATENATE("*",Patients!L1)</f>
        <v>*Subject Disease Code</v>
      </c>
      <c r="D19" s="40"/>
      <c r="E19" s="93"/>
      <c r="F19" s="94"/>
      <c r="G19" s="95"/>
      <c r="H19" s="42"/>
      <c r="J19" s="3" t="s">
        <v>50</v>
      </c>
      <c r="M19" s="3" t="s">
        <v>16</v>
      </c>
    </row>
    <row r="20" spans="2:20" ht="17" outlineLevel="1" thickTop="1" thickBot="1">
      <c r="B20" s="39"/>
      <c r="C20" s="3" t="str">
        <f>CONCATENATE("*",Races!C1)</f>
        <v>*Race</v>
      </c>
      <c r="D20" s="51"/>
      <c r="E20" s="93"/>
      <c r="F20" s="94"/>
      <c r="G20" s="95"/>
      <c r="H20" s="42"/>
      <c r="J20" s="3" t="s">
        <v>51</v>
      </c>
      <c r="M20" s="3" t="s">
        <v>32</v>
      </c>
    </row>
    <row r="21" spans="2:20" ht="17" outlineLevel="1" thickTop="1" thickBot="1">
      <c r="B21" s="39"/>
      <c r="C21" s="3" t="str">
        <f>Races!C1</f>
        <v>Race</v>
      </c>
      <c r="D21" s="51"/>
      <c r="E21" s="96"/>
      <c r="F21" s="97"/>
      <c r="G21" s="98"/>
      <c r="H21" s="42"/>
      <c r="J21" s="3" t="s">
        <v>52</v>
      </c>
    </row>
    <row r="22" spans="2:20" ht="17" outlineLevel="1" thickTop="1" thickBot="1">
      <c r="B22" s="39"/>
      <c r="C22" s="3" t="str">
        <f>Races!C1</f>
        <v>Race</v>
      </c>
      <c r="D22" s="51"/>
      <c r="E22" s="99"/>
      <c r="F22" s="100"/>
      <c r="G22" s="101"/>
      <c r="H22" s="42"/>
      <c r="J22" s="3" t="s">
        <v>53</v>
      </c>
    </row>
    <row r="23" spans="2:20" ht="17" outlineLevel="1" thickTop="1" thickBot="1">
      <c r="B23" s="39"/>
      <c r="C23" s="3" t="str">
        <f>Races!C1</f>
        <v>Race</v>
      </c>
      <c r="D23" s="51"/>
      <c r="E23" s="99"/>
      <c r="F23" s="100"/>
      <c r="G23" s="101"/>
      <c r="H23" s="42"/>
      <c r="J23" s="3" t="s">
        <v>54</v>
      </c>
    </row>
    <row r="24" spans="2:20" ht="18.75" customHeight="1" outlineLevel="1" thickTop="1" thickBot="1">
      <c r="B24" s="43"/>
      <c r="C24" s="5"/>
      <c r="D24" s="53"/>
      <c r="E24" s="102"/>
      <c r="F24" s="103"/>
      <c r="G24" s="104"/>
      <c r="J24" s="3" t="s">
        <v>55</v>
      </c>
      <c r="P24" s="64"/>
    </row>
    <row r="25" spans="2:20" ht="16" thickTop="1">
      <c r="H25" s="42"/>
      <c r="J25" s="3" t="s">
        <v>56</v>
      </c>
    </row>
    <row r="26" spans="2:20" ht="16" hidden="1" outlineLevel="1" thickTop="1">
      <c r="B26" s="48"/>
      <c r="C26" s="6"/>
      <c r="D26" s="60" t="s">
        <v>309</v>
      </c>
      <c r="E26" s="54"/>
      <c r="F26" s="54"/>
      <c r="G26" s="55"/>
      <c r="H26" s="42"/>
      <c r="J26" s="3" t="s">
        <v>57</v>
      </c>
    </row>
    <row r="27" spans="2:20" ht="16" hidden="1" outlineLevel="1" thickBot="1">
      <c r="B27" s="39"/>
      <c r="C27" s="3" t="str">
        <f>CONCATENATE("*",'Accrual Count'!B1)</f>
        <v>*Study Site Identifier</v>
      </c>
      <c r="D27" s="40"/>
      <c r="E27" s="42"/>
      <c r="F27" s="42"/>
      <c r="G27" s="105"/>
      <c r="H27" s="42"/>
      <c r="J27" s="3" t="s">
        <v>58</v>
      </c>
    </row>
    <row r="28" spans="2:20" ht="17" hidden="1" outlineLevel="1" thickTop="1" thickBot="1">
      <c r="B28" s="39"/>
      <c r="C28" s="3" t="str">
        <f>CONCATENATE("*",'Accrual Count'!C1)</f>
        <v>*Study Site Accrual Count</v>
      </c>
      <c r="D28" s="56"/>
      <c r="E28" s="42"/>
      <c r="F28" s="42"/>
      <c r="G28" s="105"/>
      <c r="H28" s="42"/>
      <c r="J28" s="3" t="s">
        <v>59</v>
      </c>
    </row>
    <row r="29" spans="2:20" ht="16" hidden="1" outlineLevel="1" thickTop="1">
      <c r="B29" s="39"/>
      <c r="C29" s="57" t="s">
        <v>334</v>
      </c>
      <c r="D29" s="59"/>
      <c r="E29" s="42" t="s">
        <v>349</v>
      </c>
      <c r="F29" s="42"/>
      <c r="G29" s="41"/>
      <c r="J29" s="3" t="s">
        <v>60</v>
      </c>
    </row>
    <row r="30" spans="2:20" ht="16" hidden="1" customHeight="1" collapsed="1">
      <c r="B30" s="72" t="s">
        <v>355</v>
      </c>
      <c r="C30" s="73"/>
      <c r="D30" s="73"/>
      <c r="E30" s="73"/>
      <c r="F30" s="73"/>
      <c r="G30" s="74"/>
      <c r="J30" s="3" t="s">
        <v>61</v>
      </c>
    </row>
    <row r="31" spans="2:20" hidden="1">
      <c r="B31" s="75"/>
      <c r="C31" s="76"/>
      <c r="D31" s="76"/>
      <c r="E31" s="76"/>
      <c r="F31" s="76"/>
      <c r="G31" s="77"/>
      <c r="J31" s="3" t="s">
        <v>62</v>
      </c>
    </row>
    <row r="32" spans="2:20" hidden="1">
      <c r="B32" s="75"/>
      <c r="C32" s="76"/>
      <c r="D32" s="76"/>
      <c r="E32" s="76"/>
      <c r="F32" s="76"/>
      <c r="G32" s="77"/>
      <c r="J32" s="3" t="s">
        <v>63</v>
      </c>
    </row>
    <row r="33" spans="2:10" hidden="1">
      <c r="B33" s="75"/>
      <c r="C33" s="76"/>
      <c r="D33" s="76"/>
      <c r="E33" s="76"/>
      <c r="F33" s="76"/>
      <c r="G33" s="77"/>
      <c r="J33" s="3" t="s">
        <v>64</v>
      </c>
    </row>
    <row r="34" spans="2:10" hidden="1">
      <c r="B34" s="75"/>
      <c r="C34" s="76"/>
      <c r="D34" s="76"/>
      <c r="E34" s="76"/>
      <c r="F34" s="76"/>
      <c r="G34" s="77"/>
      <c r="J34" s="3" t="s">
        <v>65</v>
      </c>
    </row>
    <row r="35" spans="2:10" hidden="1">
      <c r="B35" s="75"/>
      <c r="C35" s="76"/>
      <c r="D35" s="76"/>
      <c r="E35" s="76"/>
      <c r="F35" s="76"/>
      <c r="G35" s="77"/>
      <c r="J35" s="3" t="s">
        <v>66</v>
      </c>
    </row>
    <row r="36" spans="2:10" hidden="1">
      <c r="B36" s="75"/>
      <c r="C36" s="76"/>
      <c r="D36" s="76"/>
      <c r="E36" s="76"/>
      <c r="F36" s="76"/>
      <c r="G36" s="77"/>
      <c r="J36" s="3" t="s">
        <v>67</v>
      </c>
    </row>
    <row r="37" spans="2:10" hidden="1">
      <c r="B37" s="75"/>
      <c r="C37" s="76"/>
      <c r="D37" s="76"/>
      <c r="E37" s="76"/>
      <c r="F37" s="76"/>
      <c r="G37" s="77"/>
      <c r="J37" s="3" t="s">
        <v>68</v>
      </c>
    </row>
    <row r="38" spans="2:10" hidden="1">
      <c r="B38" s="75"/>
      <c r="C38" s="76"/>
      <c r="D38" s="76"/>
      <c r="E38" s="76"/>
      <c r="F38" s="76"/>
      <c r="G38" s="77"/>
      <c r="J38" s="3" t="s">
        <v>69</v>
      </c>
    </row>
    <row r="39" spans="2:10" hidden="1">
      <c r="B39" s="75"/>
      <c r="C39" s="76"/>
      <c r="D39" s="76"/>
      <c r="E39" s="76"/>
      <c r="F39" s="76"/>
      <c r="G39" s="77"/>
      <c r="J39" s="3" t="s">
        <v>70</v>
      </c>
    </row>
    <row r="40" spans="2:10" hidden="1">
      <c r="B40" s="75"/>
      <c r="C40" s="76"/>
      <c r="D40" s="76"/>
      <c r="E40" s="76"/>
      <c r="F40" s="76"/>
      <c r="G40" s="77"/>
      <c r="J40" s="3" t="s">
        <v>71</v>
      </c>
    </row>
    <row r="41" spans="2:10" hidden="1">
      <c r="B41" s="75"/>
      <c r="C41" s="76"/>
      <c r="D41" s="76"/>
      <c r="E41" s="76"/>
      <c r="F41" s="76"/>
      <c r="G41" s="77"/>
      <c r="J41" s="3" t="s">
        <v>72</v>
      </c>
    </row>
    <row r="42" spans="2:10" hidden="1">
      <c r="B42" s="75"/>
      <c r="C42" s="76"/>
      <c r="D42" s="76"/>
      <c r="E42" s="76"/>
      <c r="F42" s="76"/>
      <c r="G42" s="77"/>
      <c r="J42" s="3" t="s">
        <v>73</v>
      </c>
    </row>
    <row r="43" spans="2:10" hidden="1">
      <c r="B43" s="75"/>
      <c r="C43" s="76"/>
      <c r="D43" s="76"/>
      <c r="E43" s="76"/>
      <c r="F43" s="76"/>
      <c r="G43" s="77"/>
      <c r="J43" s="3" t="s">
        <v>74</v>
      </c>
    </row>
    <row r="44" spans="2:10" hidden="1">
      <c r="B44" s="75"/>
      <c r="C44" s="76"/>
      <c r="D44" s="76"/>
      <c r="E44" s="76"/>
      <c r="F44" s="76"/>
      <c r="G44" s="77"/>
      <c r="J44" s="3" t="s">
        <v>75</v>
      </c>
    </row>
    <row r="45" spans="2:10" hidden="1">
      <c r="B45" s="75"/>
      <c r="C45" s="76"/>
      <c r="D45" s="76"/>
      <c r="E45" s="76"/>
      <c r="F45" s="76"/>
      <c r="G45" s="77"/>
      <c r="J45" s="3" t="s">
        <v>76</v>
      </c>
    </row>
    <row r="46" spans="2:10" hidden="1">
      <c r="B46" s="75"/>
      <c r="C46" s="76"/>
      <c r="D46" s="76"/>
      <c r="E46" s="76"/>
      <c r="F46" s="76"/>
      <c r="G46" s="77"/>
      <c r="J46" s="3" t="s">
        <v>77</v>
      </c>
    </row>
    <row r="47" spans="2:10" hidden="1">
      <c r="B47" s="75"/>
      <c r="C47" s="76"/>
      <c r="D47" s="76"/>
      <c r="E47" s="76"/>
      <c r="F47" s="76"/>
      <c r="G47" s="77"/>
      <c r="J47" s="3" t="s">
        <v>78</v>
      </c>
    </row>
    <row r="48" spans="2:10" hidden="1">
      <c r="B48" s="75"/>
      <c r="C48" s="76"/>
      <c r="D48" s="76"/>
      <c r="E48" s="76"/>
      <c r="F48" s="76"/>
      <c r="G48" s="77"/>
      <c r="J48" s="3" t="s">
        <v>79</v>
      </c>
    </row>
    <row r="49" spans="2:10" hidden="1">
      <c r="B49" s="75"/>
      <c r="C49" s="76"/>
      <c r="D49" s="76"/>
      <c r="E49" s="76"/>
      <c r="F49" s="76"/>
      <c r="G49" s="77"/>
      <c r="J49" s="3" t="s">
        <v>80</v>
      </c>
    </row>
    <row r="50" spans="2:10" hidden="1">
      <c r="B50" s="75"/>
      <c r="C50" s="76"/>
      <c r="D50" s="76"/>
      <c r="E50" s="76"/>
      <c r="F50" s="76"/>
      <c r="G50" s="77"/>
      <c r="J50" s="3" t="s">
        <v>81</v>
      </c>
    </row>
    <row r="51" spans="2:10" hidden="1">
      <c r="B51" s="75"/>
      <c r="C51" s="76"/>
      <c r="D51" s="76"/>
      <c r="E51" s="76"/>
      <c r="F51" s="76"/>
      <c r="G51" s="77"/>
      <c r="J51" s="3" t="s">
        <v>82</v>
      </c>
    </row>
    <row r="52" spans="2:10" hidden="1">
      <c r="B52" s="75"/>
      <c r="C52" s="76"/>
      <c r="D52" s="76"/>
      <c r="E52" s="76"/>
      <c r="F52" s="76"/>
      <c r="G52" s="77"/>
      <c r="J52" s="3" t="s">
        <v>83</v>
      </c>
    </row>
    <row r="53" spans="2:10" hidden="1">
      <c r="B53" s="75"/>
      <c r="C53" s="76"/>
      <c r="D53" s="76"/>
      <c r="E53" s="76"/>
      <c r="F53" s="76"/>
      <c r="G53" s="77"/>
      <c r="J53" s="3" t="s">
        <v>84</v>
      </c>
    </row>
    <row r="54" spans="2:10" hidden="1">
      <c r="B54" s="75"/>
      <c r="C54" s="76"/>
      <c r="D54" s="76"/>
      <c r="E54" s="76"/>
      <c r="F54" s="76"/>
      <c r="G54" s="77"/>
      <c r="J54" s="3" t="s">
        <v>85</v>
      </c>
    </row>
    <row r="55" spans="2:10" hidden="1">
      <c r="B55" s="75"/>
      <c r="C55" s="76"/>
      <c r="D55" s="76"/>
      <c r="E55" s="76"/>
      <c r="F55" s="76"/>
      <c r="G55" s="77"/>
      <c r="J55" s="3" t="s">
        <v>86</v>
      </c>
    </row>
    <row r="56" spans="2:10" ht="15" hidden="1" customHeight="1">
      <c r="B56" s="78" t="s">
        <v>354</v>
      </c>
      <c r="C56" s="79"/>
      <c r="D56" s="79"/>
      <c r="E56" s="79"/>
      <c r="F56" s="79"/>
      <c r="G56" s="80"/>
      <c r="J56" s="3" t="s">
        <v>87</v>
      </c>
    </row>
    <row r="57" spans="2:10" hidden="1">
      <c r="B57" s="78"/>
      <c r="C57" s="79"/>
      <c r="D57" s="79"/>
      <c r="E57" s="79"/>
      <c r="F57" s="79"/>
      <c r="G57" s="80"/>
      <c r="J57" s="3" t="s">
        <v>88</v>
      </c>
    </row>
    <row r="58" spans="2:10" ht="16" hidden="1" thickBot="1">
      <c r="B58" s="81"/>
      <c r="C58" s="82"/>
      <c r="D58" s="82"/>
      <c r="E58" s="82"/>
      <c r="F58" s="82"/>
      <c r="G58" s="83"/>
      <c r="J58" s="3" t="s">
        <v>89</v>
      </c>
    </row>
    <row r="59" spans="2:10" ht="16" hidden="1" thickTop="1">
      <c r="B59" s="63"/>
      <c r="C59" s="63"/>
      <c r="D59" s="63"/>
      <c r="E59" s="63"/>
      <c r="F59" s="63"/>
      <c r="G59" s="63"/>
      <c r="J59" s="3" t="s">
        <v>90</v>
      </c>
    </row>
    <row r="60" spans="2:10">
      <c r="B60" s="63"/>
      <c r="C60" s="63"/>
      <c r="D60" s="63"/>
      <c r="E60" s="63"/>
      <c r="F60" s="63"/>
      <c r="G60" s="63"/>
      <c r="J60" s="3" t="s">
        <v>91</v>
      </c>
    </row>
    <row r="61" spans="2:10">
      <c r="B61" s="63"/>
      <c r="C61" s="63"/>
      <c r="D61" s="63"/>
      <c r="E61" s="63"/>
      <c r="F61" s="63"/>
      <c r="G61" s="63"/>
      <c r="J61" s="3" t="s">
        <v>92</v>
      </c>
    </row>
    <row r="62" spans="2:10">
      <c r="J62" s="3" t="s">
        <v>93</v>
      </c>
    </row>
    <row r="63" spans="2:10">
      <c r="J63" s="3" t="s">
        <v>94</v>
      </c>
    </row>
    <row r="64" spans="2:10">
      <c r="J64" s="3" t="s">
        <v>95</v>
      </c>
    </row>
    <row r="65" spans="8:10">
      <c r="H65" s="65"/>
      <c r="J65" s="3" t="s">
        <v>96</v>
      </c>
    </row>
    <row r="66" spans="8:10">
      <c r="J66" s="3" t="s">
        <v>97</v>
      </c>
    </row>
    <row r="67" spans="8:10">
      <c r="J67" s="3" t="s">
        <v>98</v>
      </c>
    </row>
    <row r="68" spans="8:10">
      <c r="J68" s="3" t="s">
        <v>99</v>
      </c>
    </row>
    <row r="69" spans="8:10">
      <c r="J69" s="3" t="s">
        <v>100</v>
      </c>
    </row>
    <row r="70" spans="8:10">
      <c r="J70" s="3" t="s">
        <v>101</v>
      </c>
    </row>
    <row r="71" spans="8:10">
      <c r="J71" s="3" t="s">
        <v>102</v>
      </c>
    </row>
    <row r="72" spans="8:10">
      <c r="J72" s="3" t="s">
        <v>103</v>
      </c>
    </row>
    <row r="73" spans="8:10">
      <c r="J73" s="3" t="s">
        <v>104</v>
      </c>
    </row>
    <row r="74" spans="8:10">
      <c r="J74" s="3" t="s">
        <v>105</v>
      </c>
    </row>
    <row r="75" spans="8:10">
      <c r="J75" s="3" t="s">
        <v>106</v>
      </c>
    </row>
    <row r="76" spans="8:10">
      <c r="J76" s="3" t="s">
        <v>107</v>
      </c>
    </row>
    <row r="77" spans="8:10">
      <c r="J77" s="3" t="s">
        <v>108</v>
      </c>
    </row>
    <row r="78" spans="8:10">
      <c r="J78" s="3" t="s">
        <v>109</v>
      </c>
    </row>
    <row r="79" spans="8:10">
      <c r="J79" s="3" t="s">
        <v>110</v>
      </c>
    </row>
    <row r="80" spans="8:10">
      <c r="J80" s="3" t="s">
        <v>111</v>
      </c>
    </row>
    <row r="81" spans="10:10">
      <c r="J81" s="3" t="s">
        <v>112</v>
      </c>
    </row>
    <row r="82" spans="10:10">
      <c r="J82" s="3" t="s">
        <v>113</v>
      </c>
    </row>
    <row r="83" spans="10:10">
      <c r="J83" s="3" t="s">
        <v>114</v>
      </c>
    </row>
    <row r="84" spans="10:10">
      <c r="J84" s="3" t="s">
        <v>115</v>
      </c>
    </row>
    <row r="85" spans="10:10">
      <c r="J85" s="3" t="s">
        <v>116</v>
      </c>
    </row>
    <row r="86" spans="10:10">
      <c r="J86" s="3" t="s">
        <v>117</v>
      </c>
    </row>
    <row r="87" spans="10:10">
      <c r="J87" s="3" t="s">
        <v>118</v>
      </c>
    </row>
    <row r="88" spans="10:10">
      <c r="J88" s="3" t="s">
        <v>119</v>
      </c>
    </row>
    <row r="89" spans="10:10">
      <c r="J89" s="3" t="s">
        <v>120</v>
      </c>
    </row>
    <row r="90" spans="10:10">
      <c r="J90" s="3" t="s">
        <v>121</v>
      </c>
    </row>
    <row r="91" spans="10:10">
      <c r="J91" s="3" t="s">
        <v>122</v>
      </c>
    </row>
    <row r="92" spans="10:10">
      <c r="J92" s="3" t="s">
        <v>123</v>
      </c>
    </row>
    <row r="93" spans="10:10">
      <c r="J93" s="3" t="s">
        <v>124</v>
      </c>
    </row>
    <row r="94" spans="10:10">
      <c r="J94" s="3" t="s">
        <v>125</v>
      </c>
    </row>
    <row r="95" spans="10:10">
      <c r="J95" s="3" t="s">
        <v>126</v>
      </c>
    </row>
    <row r="96" spans="10:10">
      <c r="J96" s="3" t="s">
        <v>127</v>
      </c>
    </row>
    <row r="97" spans="10:10">
      <c r="J97" s="3" t="s">
        <v>128</v>
      </c>
    </row>
    <row r="98" spans="10:10">
      <c r="J98" s="3" t="s">
        <v>129</v>
      </c>
    </row>
    <row r="99" spans="10:10">
      <c r="J99" s="3" t="s">
        <v>130</v>
      </c>
    </row>
    <row r="100" spans="10:10">
      <c r="J100" s="3" t="s">
        <v>131</v>
      </c>
    </row>
    <row r="101" spans="10:10">
      <c r="J101" s="3" t="s">
        <v>132</v>
      </c>
    </row>
    <row r="102" spans="10:10">
      <c r="J102" s="3" t="s">
        <v>133</v>
      </c>
    </row>
    <row r="103" spans="10:10">
      <c r="J103" s="3" t="s">
        <v>134</v>
      </c>
    </row>
    <row r="104" spans="10:10">
      <c r="J104" s="3" t="s">
        <v>135</v>
      </c>
    </row>
    <row r="105" spans="10:10">
      <c r="J105" s="3" t="s">
        <v>136</v>
      </c>
    </row>
    <row r="106" spans="10:10">
      <c r="J106" s="3" t="s">
        <v>137</v>
      </c>
    </row>
    <row r="107" spans="10:10">
      <c r="J107" s="3" t="s">
        <v>138</v>
      </c>
    </row>
    <row r="108" spans="10:10">
      <c r="J108" s="3" t="s">
        <v>139</v>
      </c>
    </row>
    <row r="109" spans="10:10">
      <c r="J109" s="3" t="s">
        <v>140</v>
      </c>
    </row>
    <row r="110" spans="10:10">
      <c r="J110" s="3" t="s">
        <v>141</v>
      </c>
    </row>
    <row r="111" spans="10:10">
      <c r="J111" s="3" t="s">
        <v>142</v>
      </c>
    </row>
    <row r="112" spans="10:10">
      <c r="J112" s="3" t="s">
        <v>143</v>
      </c>
    </row>
    <row r="113" spans="10:10">
      <c r="J113" s="3" t="s">
        <v>144</v>
      </c>
    </row>
    <row r="114" spans="10:10">
      <c r="J114" s="3" t="s">
        <v>145</v>
      </c>
    </row>
    <row r="115" spans="10:10">
      <c r="J115" s="3" t="s">
        <v>146</v>
      </c>
    </row>
    <row r="116" spans="10:10">
      <c r="J116" s="3" t="s">
        <v>147</v>
      </c>
    </row>
    <row r="117" spans="10:10">
      <c r="J117" s="3" t="s">
        <v>148</v>
      </c>
    </row>
    <row r="118" spans="10:10">
      <c r="J118" s="3" t="s">
        <v>149</v>
      </c>
    </row>
    <row r="119" spans="10:10">
      <c r="J119" s="3" t="s">
        <v>150</v>
      </c>
    </row>
    <row r="120" spans="10:10">
      <c r="J120" s="3" t="s">
        <v>151</v>
      </c>
    </row>
    <row r="121" spans="10:10">
      <c r="J121" s="3" t="s">
        <v>152</v>
      </c>
    </row>
    <row r="122" spans="10:10">
      <c r="J122" s="3" t="s">
        <v>153</v>
      </c>
    </row>
    <row r="123" spans="10:10">
      <c r="J123" s="3" t="s">
        <v>154</v>
      </c>
    </row>
    <row r="124" spans="10:10">
      <c r="J124" s="3" t="s">
        <v>155</v>
      </c>
    </row>
    <row r="125" spans="10:10">
      <c r="J125" s="3" t="s">
        <v>156</v>
      </c>
    </row>
    <row r="126" spans="10:10">
      <c r="J126" s="3" t="s">
        <v>157</v>
      </c>
    </row>
    <row r="127" spans="10:10">
      <c r="J127" s="3" t="s">
        <v>158</v>
      </c>
    </row>
    <row r="128" spans="10:10">
      <c r="J128" s="3" t="s">
        <v>159</v>
      </c>
    </row>
    <row r="129" spans="10:10">
      <c r="J129" s="3" t="s">
        <v>160</v>
      </c>
    </row>
    <row r="130" spans="10:10">
      <c r="J130" s="3" t="s">
        <v>161</v>
      </c>
    </row>
    <row r="131" spans="10:10">
      <c r="J131" s="3" t="s">
        <v>162</v>
      </c>
    </row>
    <row r="132" spans="10:10">
      <c r="J132" s="3" t="s">
        <v>163</v>
      </c>
    </row>
    <row r="133" spans="10:10">
      <c r="J133" s="3" t="s">
        <v>164</v>
      </c>
    </row>
    <row r="134" spans="10:10">
      <c r="J134" s="3" t="s">
        <v>165</v>
      </c>
    </row>
    <row r="135" spans="10:10">
      <c r="J135" s="3" t="s">
        <v>166</v>
      </c>
    </row>
    <row r="136" spans="10:10">
      <c r="J136" s="3" t="s">
        <v>167</v>
      </c>
    </row>
    <row r="137" spans="10:10">
      <c r="J137" s="3" t="s">
        <v>168</v>
      </c>
    </row>
    <row r="138" spans="10:10">
      <c r="J138" s="3" t="s">
        <v>169</v>
      </c>
    </row>
    <row r="139" spans="10:10">
      <c r="J139" s="3" t="s">
        <v>170</v>
      </c>
    </row>
    <row r="140" spans="10:10">
      <c r="J140" s="3" t="s">
        <v>171</v>
      </c>
    </row>
    <row r="141" spans="10:10">
      <c r="J141" s="3" t="s">
        <v>172</v>
      </c>
    </row>
    <row r="142" spans="10:10">
      <c r="J142" s="3" t="s">
        <v>173</v>
      </c>
    </row>
    <row r="143" spans="10:10">
      <c r="J143" s="3" t="s">
        <v>174</v>
      </c>
    </row>
    <row r="144" spans="10:10">
      <c r="J144" s="3" t="s">
        <v>175</v>
      </c>
    </row>
    <row r="145" spans="10:10">
      <c r="J145" s="3" t="s">
        <v>176</v>
      </c>
    </row>
    <row r="146" spans="10:10">
      <c r="J146" s="3" t="s">
        <v>177</v>
      </c>
    </row>
    <row r="147" spans="10:10">
      <c r="J147" s="3" t="s">
        <v>178</v>
      </c>
    </row>
    <row r="148" spans="10:10">
      <c r="J148" s="3" t="s">
        <v>179</v>
      </c>
    </row>
    <row r="149" spans="10:10">
      <c r="J149" s="3" t="s">
        <v>180</v>
      </c>
    </row>
    <row r="150" spans="10:10">
      <c r="J150" s="3" t="s">
        <v>181</v>
      </c>
    </row>
    <row r="151" spans="10:10">
      <c r="J151" s="3" t="s">
        <v>182</v>
      </c>
    </row>
    <row r="152" spans="10:10">
      <c r="J152" s="3" t="s">
        <v>183</v>
      </c>
    </row>
    <row r="153" spans="10:10">
      <c r="J153" s="3" t="s">
        <v>184</v>
      </c>
    </row>
    <row r="154" spans="10:10">
      <c r="J154" s="3" t="s">
        <v>185</v>
      </c>
    </row>
    <row r="155" spans="10:10">
      <c r="J155" s="3" t="s">
        <v>186</v>
      </c>
    </row>
    <row r="156" spans="10:10">
      <c r="J156" s="3" t="s">
        <v>187</v>
      </c>
    </row>
    <row r="157" spans="10:10">
      <c r="J157" s="3" t="s">
        <v>188</v>
      </c>
    </row>
    <row r="158" spans="10:10">
      <c r="J158" s="3" t="s">
        <v>189</v>
      </c>
    </row>
    <row r="159" spans="10:10">
      <c r="J159" s="3" t="s">
        <v>190</v>
      </c>
    </row>
    <row r="160" spans="10:10">
      <c r="J160" s="3" t="s">
        <v>191</v>
      </c>
    </row>
    <row r="161" spans="10:10">
      <c r="J161" s="3" t="s">
        <v>192</v>
      </c>
    </row>
    <row r="162" spans="10:10">
      <c r="J162" s="3" t="s">
        <v>193</v>
      </c>
    </row>
    <row r="163" spans="10:10">
      <c r="J163" s="3" t="s">
        <v>194</v>
      </c>
    </row>
    <row r="164" spans="10:10">
      <c r="J164" s="3" t="s">
        <v>195</v>
      </c>
    </row>
    <row r="165" spans="10:10">
      <c r="J165" s="3" t="s">
        <v>196</v>
      </c>
    </row>
    <row r="166" spans="10:10">
      <c r="J166" s="3" t="s">
        <v>197</v>
      </c>
    </row>
    <row r="167" spans="10:10">
      <c r="J167" s="3" t="s">
        <v>198</v>
      </c>
    </row>
    <row r="168" spans="10:10">
      <c r="J168" s="3" t="s">
        <v>199</v>
      </c>
    </row>
    <row r="169" spans="10:10">
      <c r="J169" s="3" t="s">
        <v>200</v>
      </c>
    </row>
    <row r="170" spans="10:10">
      <c r="J170" s="3" t="s">
        <v>201</v>
      </c>
    </row>
    <row r="171" spans="10:10">
      <c r="J171" s="3" t="s">
        <v>202</v>
      </c>
    </row>
    <row r="172" spans="10:10">
      <c r="J172" s="3" t="s">
        <v>203</v>
      </c>
    </row>
    <row r="173" spans="10:10">
      <c r="J173" s="3" t="s">
        <v>204</v>
      </c>
    </row>
    <row r="174" spans="10:10">
      <c r="J174" s="3" t="s">
        <v>205</v>
      </c>
    </row>
    <row r="175" spans="10:10">
      <c r="J175" s="3" t="s">
        <v>206</v>
      </c>
    </row>
    <row r="176" spans="10:10">
      <c r="J176" s="3" t="s">
        <v>207</v>
      </c>
    </row>
    <row r="177" spans="10:10">
      <c r="J177" s="3" t="s">
        <v>208</v>
      </c>
    </row>
    <row r="178" spans="10:10">
      <c r="J178" s="3" t="s">
        <v>209</v>
      </c>
    </row>
    <row r="179" spans="10:10">
      <c r="J179" s="3" t="s">
        <v>210</v>
      </c>
    </row>
    <row r="180" spans="10:10">
      <c r="J180" s="3" t="s">
        <v>211</v>
      </c>
    </row>
    <row r="181" spans="10:10">
      <c r="J181" s="3" t="s">
        <v>212</v>
      </c>
    </row>
    <row r="182" spans="10:10">
      <c r="J182" s="3" t="s">
        <v>213</v>
      </c>
    </row>
    <row r="183" spans="10:10">
      <c r="J183" s="3" t="s">
        <v>214</v>
      </c>
    </row>
    <row r="184" spans="10:10">
      <c r="J184" s="3" t="s">
        <v>215</v>
      </c>
    </row>
    <row r="185" spans="10:10">
      <c r="J185" s="3" t="s">
        <v>216</v>
      </c>
    </row>
    <row r="186" spans="10:10">
      <c r="J186" s="3" t="s">
        <v>217</v>
      </c>
    </row>
    <row r="187" spans="10:10">
      <c r="J187" s="3" t="s">
        <v>218</v>
      </c>
    </row>
    <row r="188" spans="10:10">
      <c r="J188" s="3" t="s">
        <v>219</v>
      </c>
    </row>
    <row r="189" spans="10:10">
      <c r="J189" s="3" t="s">
        <v>220</v>
      </c>
    </row>
    <row r="190" spans="10:10">
      <c r="J190" s="3" t="s">
        <v>221</v>
      </c>
    </row>
    <row r="191" spans="10:10">
      <c r="J191" s="3" t="s">
        <v>222</v>
      </c>
    </row>
    <row r="192" spans="10:10">
      <c r="J192" s="3" t="s">
        <v>223</v>
      </c>
    </row>
    <row r="193" spans="10:10">
      <c r="J193" s="3" t="s">
        <v>224</v>
      </c>
    </row>
    <row r="194" spans="10:10">
      <c r="J194" s="3" t="s">
        <v>225</v>
      </c>
    </row>
    <row r="195" spans="10:10">
      <c r="J195" s="3" t="s">
        <v>226</v>
      </c>
    </row>
    <row r="196" spans="10:10">
      <c r="J196" s="3" t="s">
        <v>227</v>
      </c>
    </row>
    <row r="197" spans="10:10">
      <c r="J197" s="3" t="s">
        <v>228</v>
      </c>
    </row>
    <row r="198" spans="10:10">
      <c r="J198" s="3" t="s">
        <v>229</v>
      </c>
    </row>
    <row r="199" spans="10:10">
      <c r="J199" s="3" t="s">
        <v>230</v>
      </c>
    </row>
    <row r="200" spans="10:10">
      <c r="J200" s="3" t="s">
        <v>231</v>
      </c>
    </row>
    <row r="201" spans="10:10">
      <c r="J201" s="3" t="s">
        <v>232</v>
      </c>
    </row>
    <row r="202" spans="10:10">
      <c r="J202" s="3" t="s">
        <v>233</v>
      </c>
    </row>
    <row r="203" spans="10:10">
      <c r="J203" s="3" t="s">
        <v>234</v>
      </c>
    </row>
    <row r="204" spans="10:10">
      <c r="J204" s="3" t="s">
        <v>235</v>
      </c>
    </row>
    <row r="205" spans="10:10">
      <c r="J205" s="3" t="s">
        <v>236</v>
      </c>
    </row>
    <row r="206" spans="10:10">
      <c r="J206" s="3" t="s">
        <v>237</v>
      </c>
    </row>
    <row r="207" spans="10:10">
      <c r="J207" s="3" t="s">
        <v>238</v>
      </c>
    </row>
    <row r="208" spans="10:10">
      <c r="J208" s="3" t="s">
        <v>239</v>
      </c>
    </row>
    <row r="209" spans="10:10">
      <c r="J209" s="3" t="s">
        <v>240</v>
      </c>
    </row>
    <row r="210" spans="10:10">
      <c r="J210" s="3" t="s">
        <v>241</v>
      </c>
    </row>
    <row r="211" spans="10:10">
      <c r="J211" s="3" t="s">
        <v>242</v>
      </c>
    </row>
    <row r="212" spans="10:10">
      <c r="J212" s="3" t="s">
        <v>243</v>
      </c>
    </row>
    <row r="213" spans="10:10">
      <c r="J213" s="3" t="s">
        <v>244</v>
      </c>
    </row>
    <row r="214" spans="10:10">
      <c r="J214" s="3" t="s">
        <v>245</v>
      </c>
    </row>
    <row r="215" spans="10:10">
      <c r="J215" s="3" t="s">
        <v>246</v>
      </c>
    </row>
    <row r="216" spans="10:10">
      <c r="J216" s="3" t="s">
        <v>247</v>
      </c>
    </row>
    <row r="217" spans="10:10">
      <c r="J217" s="3" t="s">
        <v>248</v>
      </c>
    </row>
    <row r="218" spans="10:10">
      <c r="J218" s="3" t="s">
        <v>249</v>
      </c>
    </row>
    <row r="219" spans="10:10">
      <c r="J219" s="3" t="s">
        <v>250</v>
      </c>
    </row>
    <row r="220" spans="10:10">
      <c r="J220" s="3" t="s">
        <v>251</v>
      </c>
    </row>
    <row r="221" spans="10:10">
      <c r="J221" s="3" t="s">
        <v>252</v>
      </c>
    </row>
    <row r="222" spans="10:10">
      <c r="J222" s="3" t="s">
        <v>253</v>
      </c>
    </row>
    <row r="223" spans="10:10">
      <c r="J223" s="3" t="s">
        <v>254</v>
      </c>
    </row>
    <row r="224" spans="10:10">
      <c r="J224" s="3" t="s">
        <v>255</v>
      </c>
    </row>
    <row r="225" spans="10:10">
      <c r="J225" s="3" t="s">
        <v>256</v>
      </c>
    </row>
    <row r="226" spans="10:10">
      <c r="J226" s="3" t="s">
        <v>257</v>
      </c>
    </row>
    <row r="227" spans="10:10">
      <c r="J227" s="3" t="s">
        <v>258</v>
      </c>
    </row>
    <row r="228" spans="10:10">
      <c r="J228" s="3" t="s">
        <v>259</v>
      </c>
    </row>
    <row r="229" spans="10:10">
      <c r="J229" s="3" t="s">
        <v>260</v>
      </c>
    </row>
    <row r="230" spans="10:10">
      <c r="J230" s="3" t="s">
        <v>261</v>
      </c>
    </row>
    <row r="231" spans="10:10">
      <c r="J231" s="3" t="s">
        <v>262</v>
      </c>
    </row>
    <row r="232" spans="10:10">
      <c r="J232" s="3" t="s">
        <v>263</v>
      </c>
    </row>
    <row r="233" spans="10:10">
      <c r="J233" s="3" t="s">
        <v>264</v>
      </c>
    </row>
    <row r="234" spans="10:10">
      <c r="J234" s="3" t="s">
        <v>265</v>
      </c>
    </row>
    <row r="235" spans="10:10">
      <c r="J235" s="3" t="s">
        <v>266</v>
      </c>
    </row>
    <row r="236" spans="10:10">
      <c r="J236" s="3" t="s">
        <v>267</v>
      </c>
    </row>
    <row r="237" spans="10:10">
      <c r="J237" s="3" t="s">
        <v>268</v>
      </c>
    </row>
    <row r="238" spans="10:10">
      <c r="J238" s="3" t="s">
        <v>269</v>
      </c>
    </row>
    <row r="239" spans="10:10">
      <c r="J239" s="3" t="s">
        <v>270</v>
      </c>
    </row>
    <row r="240" spans="10:10">
      <c r="J240" s="3" t="s">
        <v>323</v>
      </c>
    </row>
    <row r="241" spans="10:10">
      <c r="J241" s="3" t="s">
        <v>324</v>
      </c>
    </row>
    <row r="242" spans="10:10">
      <c r="J242" s="3" t="s">
        <v>325</v>
      </c>
    </row>
    <row r="243" spans="10:10">
      <c r="J243" s="3" t="s">
        <v>326</v>
      </c>
    </row>
    <row r="244" spans="10:10">
      <c r="J244" s="3" t="s">
        <v>327</v>
      </c>
    </row>
    <row r="245" spans="10:10">
      <c r="J245" s="3" t="s">
        <v>328</v>
      </c>
    </row>
    <row r="246" spans="10:10">
      <c r="J246" s="3" t="s">
        <v>329</v>
      </c>
    </row>
    <row r="247" spans="10:10">
      <c r="J247" s="3" t="s">
        <v>330</v>
      </c>
    </row>
    <row r="248" spans="10:10">
      <c r="J248" s="3" t="s">
        <v>322</v>
      </c>
    </row>
    <row r="249" spans="10:10">
      <c r="J249" s="3" t="s">
        <v>331</v>
      </c>
    </row>
    <row r="250" spans="10:10">
      <c r="J250" s="3" t="s">
        <v>271</v>
      </c>
    </row>
    <row r="251" spans="10:10">
      <c r="J251" s="3" t="s">
        <v>272</v>
      </c>
    </row>
    <row r="252" spans="10:10">
      <c r="J252" s="3" t="s">
        <v>273</v>
      </c>
    </row>
    <row r="253" spans="10:10">
      <c r="J253" s="3" t="s">
        <v>274</v>
      </c>
    </row>
    <row r="254" spans="10:10">
      <c r="J254" s="3" t="s">
        <v>275</v>
      </c>
    </row>
    <row r="255" spans="10:10">
      <c r="J255" s="58"/>
    </row>
    <row r="256" spans="10:10">
      <c r="J256" s="58"/>
    </row>
    <row r="257" spans="10:10">
      <c r="J257" s="58"/>
    </row>
    <row r="258" spans="10:10">
      <c r="J258" s="58"/>
    </row>
    <row r="259" spans="10:10">
      <c r="J259" s="58"/>
    </row>
    <row r="260" spans="10:10">
      <c r="J260" s="58"/>
    </row>
    <row r="261" spans="10:10">
      <c r="J261" s="58"/>
    </row>
    <row r="262" spans="10:10">
      <c r="J262" s="58"/>
    </row>
    <row r="263" spans="10:10">
      <c r="J263" s="58"/>
    </row>
  </sheetData>
  <mergeCells count="7">
    <mergeCell ref="B30:G55"/>
    <mergeCell ref="B56:G58"/>
    <mergeCell ref="B2:G2"/>
    <mergeCell ref="E8:G8"/>
    <mergeCell ref="E9:G21"/>
    <mergeCell ref="E22:G24"/>
    <mergeCell ref="G27:G28"/>
  </mergeCells>
  <dataValidations count="7">
    <dataValidation type="list" showErrorMessage="1" errorTitle="Invalid data" error="Enter valid data" sqref="D13" xr:uid="{00000000-0002-0000-0100-000000000000}">
      <formula1>$K$7:$K$10</formula1>
    </dataValidation>
    <dataValidation type="list" showInputMessage="1" showErrorMessage="1" errorTitle="Invalid data" error="Enter valid data" sqref="D14" xr:uid="{00000000-0002-0000-0100-000001000000}">
      <formula1>$L$7:$L$10</formula1>
    </dataValidation>
    <dataValidation type="list" operator="equal" allowBlank="1" showInputMessage="1" showErrorMessage="1" errorTitle="Invalid Data" error="Enter valid data" sqref="D11" xr:uid="{00000000-0002-0000-0100-000002000000}">
      <formula1>$J$7:$J$254</formula1>
    </dataValidation>
    <dataValidation type="list" allowBlank="1" showInputMessage="1" showErrorMessage="1" errorTitle="Invalid data" error="Enter valid data" sqref="D15" xr:uid="{00000000-0002-0000-0100-000003000000}">
      <formula1>$M$7:$M$20</formula1>
    </dataValidation>
    <dataValidation type="list" allowBlank="1" showInputMessage="1" showErrorMessage="1" errorTitle="Invalid data" error="Enter valid data" sqref="D20:D24" xr:uid="{00000000-0002-0000-0100-000004000000}">
      <formula1>$N$7:$N$13</formula1>
    </dataValidation>
    <dataValidation type="list" allowBlank="1" showInputMessage="1" showErrorMessage="1" errorTitle="Invalid data" error="Enter valid data" sqref="F3:F7" xr:uid="{00000000-0002-0000-0100-000005000000}">
      <formula1>$I$7:$I$8</formula1>
    </dataValidation>
    <dataValidation type="textLength" operator="greaterThanOrEqual" allowBlank="1" showInputMessage="1" showErrorMessage="1" sqref="D3:D7" xr:uid="{00000000-0002-0000-0100-000006000000}">
      <formula1>1</formula1>
    </dataValidation>
  </dataValidations>
  <hyperlinks>
    <hyperlink ref="C3" location="Patients!B2" display="Patients!B2" xr:uid="{00000000-0004-0000-0100-000000000000}"/>
    <hyperlink ref="E3" location="Patients!B3" display="Patients!B3" xr:uid="{00000000-0004-0000-0100-000001000000}"/>
    <hyperlink ref="C9" location="Patients!B4" display="Patients!B4" xr:uid="{00000000-0004-0000-0100-000002000000}"/>
    <hyperlink ref="C10" location="Patients!B5" display="Patients!B5" xr:uid="{00000000-0004-0000-0100-000003000000}"/>
    <hyperlink ref="C11" location="Patients!B6" display="Patients!B6" xr:uid="{00000000-0004-0000-0100-000004000000}"/>
    <hyperlink ref="C12" location="Patients!B7" display="Patients!B7" xr:uid="{00000000-0004-0000-0100-000005000000}"/>
    <hyperlink ref="C13" location="Patients!B8" display="Patients!B8" xr:uid="{00000000-0004-0000-0100-000006000000}"/>
    <hyperlink ref="C14" location="Patients!B9" display="Patients!B9" xr:uid="{00000000-0004-0000-0100-000007000000}"/>
    <hyperlink ref="C15" location="Patients!B10" display="Patients!B10" xr:uid="{00000000-0004-0000-0100-000008000000}"/>
    <hyperlink ref="C16" location="Patients!B11" display="Patients!B11" xr:uid="{00000000-0004-0000-0100-000009000000}"/>
    <hyperlink ref="C17" location="Patients!B12" display="Patients!B12" xr:uid="{00000000-0004-0000-0100-00000A000000}"/>
    <hyperlink ref="C18" location="Patients!B13" display="Patients!B13" xr:uid="{00000000-0004-0000-0100-00000B000000}"/>
    <hyperlink ref="C19" location="Patients!B14" display="Patients!B14" xr:uid="{00000000-0004-0000-0100-00000C000000}"/>
    <hyperlink ref="C20" location="Patients!B15" display="Patients!B15" xr:uid="{00000000-0004-0000-0100-00000D000000}"/>
    <hyperlink ref="C21:C23" location="Patients!B15" display="Patients!B15" xr:uid="{00000000-0004-0000-0100-00000E000000}"/>
    <hyperlink ref="C28" location="Patients!B16" display="Patients!B16" xr:uid="{00000000-0004-0000-0100-00000F000000}"/>
    <hyperlink ref="C27" location="Patients!B13" display="Patients!B13" xr:uid="{00000000-0004-0000-0100-000010000000}"/>
    <hyperlink ref="B56" r:id="rId1" xr:uid="{8402E9BE-7A94-AE41-A348-3077B4F2DA5E}"/>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
  <sheetViews>
    <sheetView workbookViewId="0">
      <pane ySplit="1" topLeftCell="A2" activePane="bottomLeft" state="frozen"/>
      <selection pane="bottomLeft" activeCell="B5" sqref="B5"/>
    </sheetView>
  </sheetViews>
  <sheetFormatPr baseColWidth="10" defaultColWidth="8.83203125" defaultRowHeight="15"/>
  <cols>
    <col min="1" max="1" width="14" bestFit="1" customWidth="1"/>
    <col min="2" max="2" width="12.1640625" bestFit="1" customWidth="1"/>
  </cols>
  <sheetData>
    <row r="1" spans="1:2" s="1" customFormat="1">
      <c r="A1" s="1" t="s">
        <v>0</v>
      </c>
      <c r="B1" s="1" t="s">
        <v>11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L1"/>
  <sheetViews>
    <sheetView workbookViewId="0">
      <pane ySplit="1" topLeftCell="A2" activePane="bottomLeft" state="frozen"/>
      <selection pane="bottomLeft" activeCell="B3" sqref="B3"/>
    </sheetView>
  </sheetViews>
  <sheetFormatPr baseColWidth="10" defaultColWidth="8.83203125" defaultRowHeight="15"/>
  <cols>
    <col min="1" max="1" width="14" bestFit="1" customWidth="1"/>
    <col min="2" max="2" width="17" bestFit="1" customWidth="1"/>
    <col min="3" max="3" width="13" style="8" customWidth="1"/>
    <col min="4" max="4" width="10.33203125" bestFit="1" customWidth="1"/>
    <col min="5" max="5" width="13.5" style="18" bestFit="1" customWidth="1"/>
    <col min="6" max="6" width="11.5" bestFit="1" customWidth="1"/>
    <col min="7" max="7" width="20.5" bestFit="1" customWidth="1"/>
    <col min="8" max="8" width="46.83203125" bestFit="1" customWidth="1"/>
    <col min="9" max="9" width="19" style="20" bestFit="1" customWidth="1"/>
    <col min="10" max="10" width="17.33203125" bestFit="1" customWidth="1"/>
    <col min="11" max="11" width="12.6640625" bestFit="1" customWidth="1"/>
    <col min="12" max="12" width="19" bestFit="1" customWidth="1"/>
  </cols>
  <sheetData>
    <row r="1" spans="1:12" s="2" customFormat="1" ht="32">
      <c r="A1" s="2" t="s">
        <v>0</v>
      </c>
      <c r="B1" s="2" t="s">
        <v>1</v>
      </c>
      <c r="C1" s="9" t="s">
        <v>304</v>
      </c>
      <c r="D1" s="2" t="s">
        <v>2</v>
      </c>
      <c r="E1" s="17" t="s">
        <v>3</v>
      </c>
      <c r="F1" s="2" t="s">
        <v>4</v>
      </c>
      <c r="G1" s="2" t="s">
        <v>5</v>
      </c>
      <c r="H1" s="2" t="s">
        <v>6</v>
      </c>
      <c r="I1" s="19" t="s">
        <v>7</v>
      </c>
      <c r="J1" s="2" t="s">
        <v>8</v>
      </c>
      <c r="K1" s="2" t="s">
        <v>9</v>
      </c>
      <c r="L1" s="2" t="s">
        <v>10</v>
      </c>
    </row>
  </sheetData>
  <pageMargins left="0.7" right="0.7" top="0.75" bottom="0.75" header="0.3" footer="0.3"/>
  <pageSetup orientation="portrait"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
  <sheetViews>
    <sheetView workbookViewId="0">
      <pane ySplit="1" topLeftCell="A2" activePane="bottomLeft" state="frozen"/>
      <selection pane="bottomLeft"/>
    </sheetView>
  </sheetViews>
  <sheetFormatPr baseColWidth="10" defaultColWidth="8.83203125" defaultRowHeight="15"/>
  <cols>
    <col min="1" max="1" width="15.1640625" customWidth="1"/>
    <col min="2" max="2" width="21.5" bestFit="1" customWidth="1"/>
    <col min="3" max="3" width="12" customWidth="1"/>
  </cols>
  <sheetData>
    <row r="1" spans="1:3" s="1" customFormat="1">
      <c r="A1" s="1" t="s">
        <v>0</v>
      </c>
      <c r="B1" s="1" t="s">
        <v>1</v>
      </c>
      <c r="C1" s="1" t="s">
        <v>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1"/>
  <sheetViews>
    <sheetView workbookViewId="0">
      <pane ySplit="1" topLeftCell="A2" activePane="bottomLeft" state="frozen"/>
      <selection pane="bottomLeft" activeCell="D1" sqref="D1:D1048576"/>
    </sheetView>
  </sheetViews>
  <sheetFormatPr baseColWidth="10" defaultColWidth="8.83203125" defaultRowHeight="15"/>
  <cols>
    <col min="1" max="1" width="15" bestFit="1" customWidth="1"/>
    <col min="2" max="2" width="19" style="29" bestFit="1" customWidth="1"/>
    <col min="3" max="3" width="22.83203125" bestFit="1" customWidth="1"/>
    <col min="4" max="4" width="8.83203125" style="20"/>
  </cols>
  <sheetData>
    <row r="1" spans="1:4" s="1" customFormat="1">
      <c r="A1" s="1" t="s">
        <v>0</v>
      </c>
      <c r="B1" s="28" t="s">
        <v>9</v>
      </c>
      <c r="C1" s="1" t="s">
        <v>13</v>
      </c>
      <c r="D1" s="36" t="s">
        <v>334</v>
      </c>
    </row>
  </sheetData>
  <pageMargins left="0.7" right="0.7" top="0.75" bottom="0.75" header="0.3" footer="0.3"/>
  <pageSetup paperSize="0"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
  <sheetViews>
    <sheetView workbookViewId="0">
      <pane ySplit="1" topLeftCell="A2" activePane="bottomLeft" state="frozen"/>
      <selection pane="bottomLeft" activeCell="A61" sqref="A61"/>
    </sheetView>
  </sheetViews>
  <sheetFormatPr baseColWidth="10" defaultColWidth="8.83203125" defaultRowHeight="1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B17"/>
  <sheetViews>
    <sheetView workbookViewId="0">
      <pane xSplit="1" ySplit="1" topLeftCell="B2" activePane="bottomRight" state="frozen"/>
      <selection pane="topRight" activeCell="B1" sqref="B1"/>
      <selection pane="bottomLeft" activeCell="A2" sqref="A2"/>
      <selection pane="bottomRight" activeCell="C6" sqref="C6"/>
    </sheetView>
  </sheetViews>
  <sheetFormatPr baseColWidth="10" defaultColWidth="8.83203125" defaultRowHeight="15"/>
  <cols>
    <col min="1" max="1" width="26.33203125" bestFit="1" customWidth="1"/>
    <col min="2" max="2" width="46" style="24" customWidth="1"/>
  </cols>
  <sheetData>
    <row r="1" spans="1:2" s="1" customFormat="1" ht="16">
      <c r="A1" s="1" t="s">
        <v>289</v>
      </c>
      <c r="B1" s="23" t="s">
        <v>290</v>
      </c>
    </row>
    <row r="2" spans="1:2" ht="16">
      <c r="A2" t="str">
        <f>Input!C3</f>
        <v>*Study Id</v>
      </c>
      <c r="B2" s="21" t="s">
        <v>291</v>
      </c>
    </row>
    <row r="3" spans="1:2" ht="16">
      <c r="A3" t="str">
        <f>Input!E3</f>
        <v>Change Code</v>
      </c>
      <c r="B3" s="21" t="s">
        <v>292</v>
      </c>
    </row>
    <row r="4" spans="1:2" ht="32">
      <c r="A4" t="str">
        <f>Input!C9</f>
        <v xml:space="preserve">*Study Subject Identifier </v>
      </c>
      <c r="B4" s="21" t="s">
        <v>295</v>
      </c>
    </row>
    <row r="5" spans="1:2" ht="96">
      <c r="A5" t="str">
        <f>Input!C10</f>
        <v>*Zip Code (if US)</v>
      </c>
      <c r="B5" s="21" t="s">
        <v>338</v>
      </c>
    </row>
    <row r="6" spans="1:2" ht="112">
      <c r="A6" t="str">
        <f>Input!C11</f>
        <v>*Country of Residence</v>
      </c>
      <c r="B6" s="21" t="s">
        <v>339</v>
      </c>
    </row>
    <row r="7" spans="1:2" ht="16">
      <c r="A7" t="str">
        <f>Input!C12</f>
        <v>*Patient’s Date of Birth</v>
      </c>
      <c r="B7" s="21" t="s">
        <v>297</v>
      </c>
    </row>
    <row r="8" spans="1:2" ht="48">
      <c r="A8" t="str">
        <f>Input!C13</f>
        <v>*Gender of a Person</v>
      </c>
      <c r="B8" s="21" t="s">
        <v>298</v>
      </c>
    </row>
    <row r="9" spans="1:2" ht="32">
      <c r="A9" t="str">
        <f>Input!C14</f>
        <v>*Ethnicity</v>
      </c>
      <c r="B9" s="21" t="s">
        <v>299</v>
      </c>
    </row>
    <row r="10" spans="1:2" ht="80">
      <c r="A10" t="str">
        <f>Input!C15</f>
        <v>Payment Method</v>
      </c>
      <c r="B10" s="21" t="s">
        <v>300</v>
      </c>
    </row>
    <row r="11" spans="1:2" ht="16">
      <c r="A11" t="str">
        <f>Input!C16</f>
        <v>*Subject Registration Date</v>
      </c>
      <c r="B11" s="21" t="s">
        <v>301</v>
      </c>
    </row>
    <row r="12" spans="1:2" ht="32">
      <c r="A12" t="str">
        <f>Input!C17</f>
        <v>Registering Group Identifier</v>
      </c>
      <c r="B12" s="21" t="s">
        <v>296</v>
      </c>
    </row>
    <row r="13" spans="1:2" ht="32">
      <c r="A13" t="str">
        <f>Input!C18</f>
        <v>*Study Site Identifier</v>
      </c>
      <c r="B13" s="21" t="s">
        <v>294</v>
      </c>
    </row>
    <row r="14" spans="1:2" ht="16">
      <c r="A14" t="str">
        <f>Input!C19</f>
        <v>*Subject Disease Code</v>
      </c>
      <c r="B14" s="21" t="s">
        <v>302</v>
      </c>
    </row>
    <row r="15" spans="1:2" ht="32">
      <c r="A15" t="str">
        <f>Input!C20</f>
        <v>*Race</v>
      </c>
      <c r="B15" s="21" t="s">
        <v>303</v>
      </c>
    </row>
    <row r="16" spans="1:2" ht="16">
      <c r="A16" t="str">
        <f>Input!C28</f>
        <v>*Study Site Accrual Count</v>
      </c>
      <c r="B16" s="21" t="s">
        <v>293</v>
      </c>
    </row>
    <row r="17" spans="2:2">
      <c r="B17" s="21"/>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Instructions</vt:lpstr>
      <vt:lpstr>Input</vt:lpstr>
      <vt:lpstr>Collections</vt:lpstr>
      <vt:lpstr>Patients</vt:lpstr>
      <vt:lpstr>Races</vt:lpstr>
      <vt:lpstr>Accrual Count</vt:lpstr>
      <vt:lpstr>Export</vt:lpstr>
      <vt:lpstr>Definitions</vt:lpstr>
      <vt:lpstr>Disease</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Accrual Batch File Tool_508_Compliant</dc:title>
  <dc:creator>NCI-CBIIT</dc:creator>
  <cp:keywords>Accrual Batch Tool Utility</cp:keywords>
  <cp:lastModifiedBy>Microsoft Office User</cp:lastModifiedBy>
  <dcterms:created xsi:type="dcterms:W3CDTF">2012-09-19T10:34:20Z</dcterms:created>
  <dcterms:modified xsi:type="dcterms:W3CDTF">2019-10-23T16:51:48Z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nguage">
    <vt:lpwstr>English</vt:lpwstr>
  </property>
</Properties>
</file>