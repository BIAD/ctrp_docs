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326BA218-B054-8778-C3B9-1B04C7A2A785}"/>
  <workbookPr codeName="ThisWorkbook" autoCompressPictures="0"/>
  <mc:AlternateContent xmlns:mc="http://schemas.openxmlformats.org/markup-compatibility/2006">
    <mc:Choice Requires="x15">
      <x15ac:absPath xmlns:x15ac="http://schemas.microsoft.com/office/spreadsheetml/2010/11/ac" url="/Users/kolegagt/Downloads/"/>
    </mc:Choice>
  </mc:AlternateContent>
  <xr:revisionPtr revIDLastSave="0" documentId="13_ncr:1_{AF4DED2A-8713-9546-99CA-2ED96F89E1C8}" xr6:coauthVersionLast="45" xr6:coauthVersionMax="45" xr10:uidLastSave="{00000000-0000-0000-0000-000000000000}"/>
  <bookViews>
    <workbookView xWindow="2480" yWindow="460" windowWidth="51200" windowHeight="2674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18" i="7" l="1"/>
  <c r="C22" i="7" l="1"/>
  <c r="C16" i="7"/>
  <c r="A11" i="8" s="1"/>
  <c r="C19" i="7"/>
  <c r="A14" i="8" s="1"/>
  <c r="C20" i="7"/>
  <c r="A15" i="8" s="1"/>
  <c r="C14" i="7"/>
  <c r="A9" i="8" s="1"/>
  <c r="C12" i="7"/>
  <c r="A7" i="8" s="1"/>
  <c r="C13" i="7"/>
  <c r="K6" i="7" s="1"/>
  <c r="A13" i="8"/>
  <c r="C27" i="7"/>
  <c r="C28" i="7"/>
  <c r="A16" i="8" s="1"/>
  <c r="C11" i="7"/>
  <c r="J6" i="7" s="1"/>
  <c r="C9" i="7"/>
  <c r="A4" i="8" s="1"/>
  <c r="C3" i="7"/>
  <c r="A2" i="8" s="1"/>
  <c r="C23" i="7"/>
  <c r="C21" i="7"/>
  <c r="N6" i="7"/>
  <c r="C17" i="7"/>
  <c r="A12" i="8" s="1"/>
  <c r="C15" i="7"/>
  <c r="M6" i="7" s="1"/>
  <c r="E3" i="7"/>
  <c r="I6" i="7" s="1"/>
  <c r="C10" i="7"/>
  <c r="A5" i="8" s="1"/>
  <c r="A10" i="8"/>
  <c r="L6" i="7" l="1"/>
  <c r="A8" i="8"/>
  <c r="A6" i="8"/>
  <c r="A3" i="8"/>
</calcChain>
</file>

<file path=xl/sharedStrings.xml><?xml version="1.0" encoding="utf-8"?>
<sst xmlns="http://schemas.openxmlformats.org/spreadsheetml/2006/main" count="377" uniqueCount="358">
  <si>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</si>
  <si>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</si>
  <si>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</si>
  <si>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</si>
  <si>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</si>
  <si>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</si>
  <si>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</si>
  <si>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</si>
  <si>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</si>
  <si>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</si>
  <si>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</si>
  <si>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</si>
  <si>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</si>
  <si>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</si>
  <si>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</si>
  <si>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</si>
  <si>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</si>
  <si>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</si>
  <si>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</si>
  <si>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</si>
  <si>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</si>
  <si>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</si>
  <si>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</si>
  <si>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</si>
  <si>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</si>
  <si>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</si>
  <si>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</si>
  <si>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</si>
  <si>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</si>
  <si>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</si>
  <si>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</si>
  <si>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</si>
  <si>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</si>
  <si>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</si>
  <si>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</si>
  <si>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</si>
  <si>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</si>
  <si>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</si>
  <si>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</si>
  <si>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</si>
  <si>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</si>
  <si>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</si>
  <si>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</si>
  <si>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</si>
  <si>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</si>
  <si>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</si>
  <si>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</si>
  <si>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</si>
  <si>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</si>
  <si>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</si>
  <si>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</si>
  <si>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</si>
  <si>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</si>
  <si>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</si>
  <si>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</si>
  <si>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</si>
  <si>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</si>
  <si>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</si>
  <si>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</si>
  <si>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</si>
  <si>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</si>
  <si>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</si>
  <si>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</si>
  <si>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</si>
  <si>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</si>
  <si>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</si>
  <si>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</si>
  <si>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</si>
  <si>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</si>
  <si>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</si>
  <si>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</si>
  <si>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</si>
  <si>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</si>
  <si>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</si>
  <si>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</si>
  <si>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</si>
  <si>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</si>
  <si>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</si>
  <si>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</si>
  <si>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</si>
  <si>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</si>
  <si>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</si>
  <si>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</si>
  <si>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</si>
  <si>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</si>
  <si>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</si>
  <si>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</si>
  <si>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</si>
  <si>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</si>
  <si>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</si>
  <si>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</si>
  <si>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</si>
  <si>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</si>
  <si>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</si>
  <si>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</si>
  <si>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</si>
  <si>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</si>
  <si>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</si>
  <si>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</si>
  <si>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</si>
  <si>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</si>
  <si>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</si>
  <si>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</si>
  <si>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</si>
  <si>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</si>
  <si>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</si>
  <si>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</si>
  <si>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</si>
  <si>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</si>
  <si>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</si>
  <si>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</si>
  <si>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</si>
  <si>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</si>
  <si>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</si>
  <si>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</si>
  <si>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</si>
  <si>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GA</t>
  </si>
  <si>
    <t>GM</t>
  </si>
  <si>
    <t>GE</t>
  </si>
  <si>
    <t>DE</t>
  </si>
  <si>
    <t>GH</t>
  </si>
  <si>
    <t>GI</t>
  </si>
  <si>
    <t>GR</t>
  </si>
  <si>
    <t>GL</t>
  </si>
  <si>
    <t>GD</t>
  </si>
  <si>
    <t>GP</t>
  </si>
  <si>
    <t>GU</t>
  </si>
  <si>
    <t>GT</t>
  </si>
  <si>
    <t>GN</t>
  </si>
  <si>
    <t>GW</t>
  </si>
  <si>
    <t>GY</t>
  </si>
  <si>
    <t>HT</t>
  </si>
  <si>
    <t>HM</t>
  </si>
  <si>
    <t>VA</t>
  </si>
  <si>
    <t>HN</t>
  </si>
  <si>
    <t>HK</t>
  </si>
  <si>
    <t>HU</t>
  </si>
  <si>
    <t>IS</t>
  </si>
  <si>
    <t>IN</t>
  </si>
  <si>
    <t>ID</t>
  </si>
  <si>
    <t>IR</t>
  </si>
  <si>
    <t>IQ</t>
  </si>
  <si>
    <t>IE</t>
  </si>
  <si>
    <t>IL</t>
  </si>
  <si>
    <t>IT</t>
  </si>
  <si>
    <t>JM</t>
  </si>
  <si>
    <t>JP</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</si>
  <si>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</si>
  <si>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</si>
  <si>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</si>
  <si>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</si>
  <si>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</si>
  <si>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</si>
  <si>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</si>
  <si>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</si>
  <si>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</si>
  <si>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</si>
  <si>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</si>
  <si>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</si>
  <si>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</si>
  <si>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</si>
  <si>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</si>
  <si>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</si>
  <si>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</si>
  <si>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</si>
  <si>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</si>
  <si>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</si>
  <si>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</si>
  <si>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</si>
  <si>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</si>
  <si>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</si>
  <si>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</si>
  <si>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</si>
  <si>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</si>
  <si>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</si>
  <si>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</si>
  <si>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</si>
  <si>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</si>
  <si>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</si>
  <si>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</si>
  <si>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</si>
  <si>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</si>
  <si>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</si>
  <si>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</si>
  <si>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</si>
  <si>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</si>
  <si>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</si>
  <si>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</si>
  <si>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</si>
  <si>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</si>
  <si>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</si>
  <si>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</si>
  <si>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</si>
  <si>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</si>
  <si>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</si>
  <si>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</si>
  <si>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</si>
  <si>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</si>
  <si>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</si>
  <si>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</si>
  <si>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</si>
  <si>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</si>
  <si>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</si>
  <si>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</si>
  <si>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</si>
  <si>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</si>
  <si>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</si>
  <si>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</si>
  <si>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</si>
  <si>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</si>
  <si>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</si>
  <si>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</si>
  <si>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</si>
  <si>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</si>
  <si>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</si>
  <si>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</si>
  <si>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</si>
  <si>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</si>
  <si>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</si>
  <si>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</si>
  <si>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</si>
  <si>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</si>
  <si>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</si>
  <si>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</si>
  <si>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</si>
  <si>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</si>
  <si>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</si>
  <si>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</si>
  <si>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</si>
  <si>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</si>
  <si>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</si>
  <si>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</si>
  <si>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</si>
  <si>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</si>
  <si>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</si>
  <si>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</si>
  <si>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</si>
  <si>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</si>
  <si>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</si>
  <si>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</si>
  <si>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</si>
  <si>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</si>
  <si>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</si>
  <si>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</si>
  <si>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</si>
  <si>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</si>
  <si>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</si>
  <si>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</si>
  <si>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</si>
  <si>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</si>
  <si>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</si>
  <si>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</si>
  <si>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</si>
  <si>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</si>
  <si>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</si>
  <si>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</si>
  <si>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</si>
  <si>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</si>
  <si>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</si>
  <si>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</si>
  <si>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</si>
  <si>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</si>
  <si>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</si>
  <si>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</si>
  <si>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</si>
  <si>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</si>
  <si>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</si>
  <si>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</si>
  <si>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</si>
  <si>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</si>
  <si>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</si>
  <si>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</si>
  <si>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</si>
  <si>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</si>
  <si>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</si>
  <si>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</si>
  <si>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</si>
  <si>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</si>
  <si>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</si>
  <si>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</si>
  <si>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</si>
  <si>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</si>
  <si>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</si>
  <si>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</si>
  <si>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</si>
  <si>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</si>
  <si>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</si>
  <si>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</si>
  <si>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</si>
  <si>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</si>
  <si>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</si>
  <si>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</si>
  <si>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</si>
  <si>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</si>
  <si>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</si>
  <si>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</si>
  <si>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</si>
  <si>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</si>
  <si>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</si>
  <si>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</si>
  <si>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r>
      <t>Text term for an entity, organization, government, corporation, health plan sponsor, or any other financial agent who pays a healthcare provider for the healthcare service rendered to a person or reimburses the cost of the healthcare service.</t>
    </r>
    <r>
      <rPr>
        <sz val="11"/>
        <color theme="1"/>
        <rFont val="Calibri"/>
        <family val="2"/>
        <scheme val="minor"/>
      </rPr>
      <t>&lt;y.</t>
    </r>
  </si>
  <si>
    <r>
      <t>Date the subject was registered for the study.</t>
    </r>
    <r>
      <rPr>
        <sz val="11"/>
        <color theme="1"/>
        <rFont val="Calibri"/>
        <family val="2"/>
        <scheme val="minor"/>
      </rPr>
      <t>&lt;y.</t>
    </r>
  </si>
  <si>
    <r>
      <t>Code that identifies a disease.</t>
    </r>
    <r>
      <rPr>
        <sz val="11"/>
        <color theme="1"/>
        <rFont val="Calibri"/>
        <family val="2"/>
        <scheme val="minor"/>
      </rPr>
      <t>&lt; study.&lt;y.</t>
    </r>
  </si>
  <si>
    <r>
      <t>The text for reporting information about race based on the Office of Management and Budget (OMB) categories.</t>
    </r>
    <r>
      <rPr>
        <sz val="11"/>
        <color theme="1"/>
        <rFont val="Calibri"/>
        <family val="2"/>
        <scheme val="minor"/>
      </rPr>
      <t>&lt;y.</t>
    </r>
  </si>
  <si>
    <t>Zip Code (if US)</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</si>
  <si>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or Add Accrual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</si>
  <si>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</si>
  <si>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</si>
  <si>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</si>
  <si>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</si>
  <si>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</si>
  <si>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</si>
  <si>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</si>
  <si>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</si>
  <si>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</si>
  <si>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</si>
  <si>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</si>
  <si>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</si>
  <si>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</si>
  <si>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</si>
  <si>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ICD-9</t>
  </si>
  <si>
    <t>ICD-O-3</t>
  </si>
  <si>
    <t>RS</t>
  </si>
  <si>
    <t>AX</t>
  </si>
  <si>
    <t>BL</t>
  </si>
  <si>
    <t>GG</t>
  </si>
  <si>
    <t>IM</t>
  </si>
  <si>
    <t>JE</t>
  </si>
  <si>
    <t>ME</t>
  </si>
  <si>
    <t>MF</t>
  </si>
  <si>
    <t>PS</t>
  </si>
  <si>
    <t>TL</t>
  </si>
  <si>
    <t>1.5</t>
  </si>
  <si>
    <t>Reshma Koganti</t>
  </si>
  <si>
    <t>Cut-Off Date</t>
  </si>
  <si>
    <t>1.6</t>
  </si>
  <si>
    <t>Added Cut-Off Date</t>
  </si>
  <si>
    <t>Praneeth Polavarapu</t>
  </si>
  <si>
    <t>The string of characters used to identify the five-digit Zone Improvement Plan (ZIP) code that represents the geographic segment that is a subunit of the ZIPcode, assigned by the U.S. Postal Service to a geographic location to facilitate mail delivery. Zip Code is mandatory if the patient’s Country of Residence is the U.S.</t>
  </si>
  <si>
    <t>For non-U.S. residents only. This should be used when patient participation from foreign countries is involved. For patients from outside the U.S., enter the foreign country code. Leave blank if the patient is a U.S. resident. CTRP is using the International Standards Organization country codes.  Note: Either Zip code (if U.S resident) or country code (if not U.S resident) is mandatory.</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</si>
  <si>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</si>
  <si>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</si>
  <si>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</si>
  <si>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</si>
  <si>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</si>
  <si>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</si>
  <si>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</si>
  <si>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</si>
  <si>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</si>
  <si>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</si>
  <si>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</si>
  <si>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</si>
  <si>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</si>
  <si>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t>
    </r>
  </si>
  <si>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</si>
  <si>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</si>
  <si>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r>
      <rPr>
        <b/>
        <sz val="11"/>
        <color theme="1"/>
        <rFont val="Calibri"/>
        <family val="2"/>
        <scheme val="minor"/>
      </rPr>
      <t xml:space="preserve">  Patient’s Date of Birth Format: </t>
    </r>
    <r>
      <rPr>
        <sz val="11"/>
        <color theme="1"/>
        <rFont val="Calibri"/>
        <family val="2"/>
        <scheme val="minor"/>
      </rPr>
      <t xml:space="preserve">MM/DD/YYYY or 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t>
    </r>
  </si>
  <si>
    <t>Undifferentiated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</si>
</sst>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9">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s>
  <fills count="3">
    <fill>
      <patternFill patternType="none"/>
    </fill>
    <fill>
      <patternFill patternType="gray125"/>
    </fill>
    <fill>
      <patternFill patternType="solid">
        <fgColor rgb="FFF2FCFA"/>
        <bgColor indexed="64"/>
      </patternFill>
    </fill>
  </fills>
  <borders count="23">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right/>
      <top style="dashed">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106">
    <xf numFmtId="0" fontId="0" fillId="0" borderId="0" xfId="0"/>
    <xf numFmtId="0" fontId="1" fillId="0" borderId="0" xfId="0" applyFont="1"/>
    <xf numFmtId="0" fontId="1" fillId="0" borderId="0" xfId="0" applyFont="1" applyAlignment="1">
      <alignment wrapText="1"/>
    </xf>
    <xf numFmtId="0" fontId="0" fillId="0" borderId="0" xfId="0" applyFont="1"/>
    <xf numFmtId="0" fontId="1" fillId="0" borderId="0" xfId="0" applyFont="1" applyBorder="1"/>
    <xf numFmtId="0" fontId="1" fillId="0" borderId="8" xfId="0" applyFont="1" applyBorder="1"/>
    <xf numFmtId="0" fontId="1" fillId="0" borderId="3" xfId="0" applyFont="1" applyBorder="1"/>
    <xf numFmtId="0" fontId="1" fillId="0" borderId="0" xfId="0" applyFont="1" applyBorder="1" applyAlignment="1">
      <alignment wrapText="1"/>
    </xf>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5"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Font="1" applyAlignment="1">
      <alignment horizontal="left"/>
    </xf>
    <xf numFmtId="0" fontId="0" fillId="0" borderId="5" xfId="0" applyFont="1" applyBorder="1"/>
    <xf numFmtId="49" fontId="0" fillId="0" borderId="1" xfId="0" applyNumberFormat="1" applyFont="1" applyBorder="1" applyAlignment="1">
      <alignment horizontal="left"/>
    </xf>
    <xf numFmtId="0" fontId="0" fillId="0" borderId="6" xfId="0" applyFont="1" applyBorder="1"/>
    <xf numFmtId="0" fontId="0" fillId="0" borderId="0" xfId="0" applyFont="1" applyBorder="1"/>
    <xf numFmtId="0" fontId="0" fillId="0" borderId="7" xfId="0" applyFont="1" applyBorder="1"/>
    <xf numFmtId="49" fontId="0" fillId="0" borderId="8" xfId="0" applyNumberFormat="1" applyFont="1" applyBorder="1" applyAlignment="1">
      <alignment horizontal="left"/>
    </xf>
    <xf numFmtId="0" fontId="0" fillId="0" borderId="8" xfId="0" applyFont="1" applyBorder="1"/>
    <xf numFmtId="0" fontId="0" fillId="0" borderId="9" xfId="0" applyFont="1" applyBorder="1"/>
    <xf numFmtId="49" fontId="0" fillId="0" borderId="0" xfId="0" applyNumberFormat="1" applyFont="1" applyBorder="1" applyAlignment="1">
      <alignment horizontal="left"/>
    </xf>
    <xf numFmtId="0" fontId="0" fillId="0" borderId="2" xfId="0" applyFont="1" applyBorder="1"/>
    <xf numFmtId="164" fontId="0" fillId="0" borderId="1" xfId="0" applyNumberFormat="1" applyFont="1" applyBorder="1" applyAlignment="1">
      <alignment horizontal="left"/>
    </xf>
    <xf numFmtId="165" fontId="0" fillId="0" borderId="1" xfId="0" applyNumberFormat="1" applyFont="1" applyBorder="1" applyAlignment="1">
      <alignment horizontal="left"/>
    </xf>
    <xf numFmtId="0" fontId="0" fillId="0" borderId="1" xfId="0" applyFont="1" applyBorder="1" applyAlignment="1">
      <alignment horizontal="left"/>
    </xf>
    <xf numFmtId="14" fontId="0" fillId="0" borderId="1" xfId="0" applyNumberFormat="1" applyFont="1" applyBorder="1" applyAlignment="1">
      <alignment horizontal="left"/>
    </xf>
    <xf numFmtId="0" fontId="0" fillId="0" borderId="8" xfId="0" applyFont="1" applyBorder="1" applyAlignment="1">
      <alignment horizontal="left"/>
    </xf>
    <xf numFmtId="0" fontId="0" fillId="0" borderId="3" xfId="0" applyFont="1" applyBorder="1"/>
    <xf numFmtId="0" fontId="0" fillId="0" borderId="4" xfId="0" applyFont="1" applyBorder="1"/>
    <xf numFmtId="1" fontId="0" fillId="0" borderId="1" xfId="0" applyNumberFormat="1" applyFont="1" applyBorder="1" applyAlignment="1">
      <alignment horizontal="left"/>
    </xf>
    <xf numFmtId="0" fontId="0" fillId="0" borderId="0" xfId="1" applyFont="1"/>
    <xf numFmtId="0" fontId="0" fillId="0" borderId="0" xfId="0" applyFont="1" applyFill="1"/>
    <xf numFmtId="14" fontId="0" fillId="0" borderId="0" xfId="0" applyNumberFormat="1" applyFont="1" applyBorder="1" applyAlignment="1">
      <alignment horizontal="left"/>
    </xf>
    <xf numFmtId="0" fontId="8" fillId="0" borderId="3" xfId="0" applyFont="1" applyBorder="1" applyAlignment="1">
      <alignment horizontal="left" wrapText="1"/>
    </xf>
    <xf numFmtId="49" fontId="0" fillId="0" borderId="0" xfId="0" applyNumberFormat="1" applyFont="1"/>
    <xf numFmtId="49" fontId="0" fillId="0" borderId="1" xfId="0" applyNumberFormat="1" applyFont="1" applyBorder="1"/>
    <xf numFmtId="0" fontId="1" fillId="0" borderId="0" xfId="0" applyFont="1" applyBorder="1" applyAlignment="1">
      <alignment vertical="top" wrapText="1"/>
    </xf>
    <xf numFmtId="0" fontId="0" fillId="0" borderId="15" xfId="0" applyFont="1" applyBorder="1"/>
    <xf numFmtId="0" fontId="0" fillId="0" borderId="16" xfId="0" applyFont="1" applyBorder="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Border="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7" xfId="0" applyFont="1" applyFill="1" applyBorder="1" applyAlignment="1">
      <alignment horizontal="left" vertical="top" wrapText="1"/>
    </xf>
    <xf numFmtId="0" fontId="0" fillId="2" borderId="18" xfId="0" applyFont="1" applyFill="1" applyBorder="1" applyAlignment="1">
      <alignment horizontal="left" vertical="top" wrapText="1"/>
    </xf>
    <xf numFmtId="0" fontId="0" fillId="2" borderId="19" xfId="0" applyFont="1" applyFill="1" applyBorder="1" applyAlignment="1">
      <alignment horizontal="left" vertical="top" wrapText="1"/>
    </xf>
    <xf numFmtId="0" fontId="0" fillId="2" borderId="5" xfId="0" applyFont="1" applyFill="1" applyBorder="1" applyAlignment="1">
      <alignment horizontal="left" vertical="top" wrapText="1"/>
    </xf>
    <xf numFmtId="0" fontId="0" fillId="2" borderId="0" xfId="0" applyFont="1" applyFill="1" applyBorder="1" applyAlignment="1">
      <alignment horizontal="left" vertical="top" wrapText="1"/>
    </xf>
    <xf numFmtId="0" fontId="0" fillId="2" borderId="6" xfId="0" applyFont="1" applyFill="1" applyBorder="1" applyAlignment="1">
      <alignment horizontal="left" vertical="top" wrapText="1"/>
    </xf>
    <xf numFmtId="0" fontId="0" fillId="2" borderId="20" xfId="0" applyFont="1" applyFill="1" applyBorder="1" applyAlignment="1">
      <alignment horizontal="left" vertical="top" wrapText="1"/>
    </xf>
    <xf numFmtId="0" fontId="0" fillId="2" borderId="21" xfId="0" applyFont="1" applyFill="1" applyBorder="1" applyAlignment="1">
      <alignment horizontal="left" vertical="top" wrapText="1"/>
    </xf>
    <xf numFmtId="0" fontId="0" fillId="2" borderId="22" xfId="0" applyFont="1" applyFill="1" applyBorder="1" applyAlignment="1">
      <alignment horizontal="left" vertical="top" wrapText="1"/>
    </xf>
    <xf numFmtId="0" fontId="0" fillId="2" borderId="5" xfId="0" applyFont="1" applyFill="1" applyBorder="1" applyAlignment="1">
      <alignment horizontal="center" vertical="top" wrapText="1"/>
    </xf>
    <xf numFmtId="0" fontId="0" fillId="2" borderId="0" xfId="0" applyFont="1" applyFill="1" applyBorder="1" applyAlignment="1">
      <alignment horizontal="center" vertical="top" wrapText="1"/>
    </xf>
    <xf numFmtId="0" fontId="0" fillId="2" borderId="6" xfId="0" applyFont="1" applyFill="1" applyBorder="1" applyAlignment="1">
      <alignment horizontal="center" vertical="top" wrapText="1"/>
    </xf>
    <xf numFmtId="0" fontId="0" fillId="2" borderId="7" xfId="0" applyFont="1" applyFill="1" applyBorder="1" applyAlignment="1">
      <alignment horizontal="center" vertical="top" wrapText="1"/>
    </xf>
    <xf numFmtId="0" fontId="0" fillId="2" borderId="8" xfId="0" applyFont="1" applyFill="1" applyBorder="1" applyAlignment="1">
      <alignment horizontal="center" vertical="top" wrapText="1"/>
    </xf>
    <xf numFmtId="0" fontId="0" fillId="2" borderId="9" xfId="0" applyFont="1" applyFill="1" applyBorder="1" applyAlignment="1">
      <alignment horizontal="center" vertical="top" wrapText="1"/>
    </xf>
    <xf numFmtId="0" fontId="0" fillId="0" borderId="6"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21</xdr:row>
      <xdr:rowOff>148590</xdr:rowOff>
    </xdr:from>
    <xdr:to>
      <xdr:col>6</xdr:col>
      <xdr:colOff>25400</xdr:colOff>
      <xdr:row>23</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26</xdr:row>
      <xdr:rowOff>53340</xdr:rowOff>
    </xdr:from>
    <xdr:to>
      <xdr:col>6</xdr:col>
      <xdr:colOff>1645920</xdr:colOff>
      <xdr:row>27</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2</xdr:col>
      <xdr:colOff>1892300</xdr:colOff>
      <xdr:row>61</xdr:row>
      <xdr:rowOff>26034</xdr:rowOff>
    </xdr:from>
    <xdr:to>
      <xdr:col>5</xdr:col>
      <xdr:colOff>202565</xdr:colOff>
      <xdr:row>63</xdr:row>
      <xdr:rowOff>76199</xdr:rowOff>
    </xdr:to>
    <xdr:sp macro="[0]!ClearData_Click" textlink="">
      <xdr:nvSpPr>
        <xdr:cNvPr id="6" name="Rounded Rectangle 5">
          <a:extLst>
            <a:ext uri="{FF2B5EF4-FFF2-40B4-BE49-F238E27FC236}">
              <a16:creationId xmlns:a16="http://schemas.microsoft.com/office/drawing/2014/main" id="{00000000-0008-0000-0100-000006000000}"/>
            </a:ext>
          </a:extLst>
        </xdr:cNvPr>
        <xdr:cNvSpPr/>
      </xdr:nvSpPr>
      <xdr:spPr>
        <a:xfrm>
          <a:off x="2324100" y="8522334"/>
          <a:ext cx="2755265" cy="431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2</xdr:col>
      <xdr:colOff>876300</xdr:colOff>
      <xdr:row>5</xdr:row>
      <xdr:rowOff>38100</xdr:rowOff>
    </xdr:from>
    <xdr:to>
      <xdr:col>3</xdr:col>
      <xdr:colOff>1143001</xdr:colOff>
      <xdr:row>5</xdr:row>
      <xdr:rowOff>523876</xdr:rowOff>
    </xdr:to>
    <xdr:sp macro="[0]!ShowNonIndustrialTrial_Click" textlink="">
      <xdr:nvSpPr>
        <xdr:cNvPr id="7" name="Rounded Rectangle 6">
          <a:extLst>
            <a:ext uri="{FF2B5EF4-FFF2-40B4-BE49-F238E27FC236}">
              <a16:creationId xmlns:a16="http://schemas.microsoft.com/office/drawing/2014/main" id="{00000000-0008-0000-0100-000007000000}"/>
            </a:ext>
          </a:extLst>
        </xdr:cNvPr>
        <xdr:cNvSpPr/>
      </xdr:nvSpPr>
      <xdr:spPr>
        <a:xfrm>
          <a:off x="1308100" y="8128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3</xdr:col>
      <xdr:colOff>1450975</xdr:colOff>
      <xdr:row>5</xdr:row>
      <xdr:rowOff>47625</xdr:rowOff>
    </xdr:from>
    <xdr:to>
      <xdr:col>6</xdr:col>
      <xdr:colOff>635000</xdr:colOff>
      <xdr:row>5</xdr:row>
      <xdr:rowOff>533401</xdr:rowOff>
    </xdr:to>
    <xdr:sp macro="[0]!ShowIndustrialTrial_Click" textlink="">
      <xdr:nvSpPr>
        <xdr:cNvPr id="8" name="Rounded Rectangle 7">
          <a:extLst>
            <a:ext uri="{FF2B5EF4-FFF2-40B4-BE49-F238E27FC236}">
              <a16:creationId xmlns:a16="http://schemas.microsoft.com/office/drawing/2014/main" id="{00000000-0008-0000-0100-000008000000}"/>
            </a:ext>
          </a:extLst>
        </xdr:cNvPr>
        <xdr:cNvSpPr/>
      </xdr:nvSpPr>
      <xdr:spPr>
        <a:xfrm>
          <a:off x="39020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1889125</xdr:colOff>
      <xdr:row>64</xdr:row>
      <xdr:rowOff>152400</xdr:rowOff>
    </xdr:from>
    <xdr:to>
      <xdr:col>5</xdr:col>
      <xdr:colOff>199390</xdr:colOff>
      <xdr:row>66</xdr:row>
      <xdr:rowOff>182303</xdr:rowOff>
    </xdr:to>
    <xdr:sp macro="[0]!Random_Click" textlink="">
      <xdr:nvSpPr>
        <xdr:cNvPr id="9" name="Rounded Rectangle 8">
          <a:extLst>
            <a:ext uri="{FF2B5EF4-FFF2-40B4-BE49-F238E27FC236}">
              <a16:creationId xmlns:a16="http://schemas.microsoft.com/office/drawing/2014/main" id="{00000000-0008-0000-0100-000009000000}"/>
            </a:ext>
          </a:extLst>
        </xdr:cNvPr>
        <xdr:cNvSpPr/>
      </xdr:nvSpPr>
      <xdr:spPr>
        <a:xfrm>
          <a:off x="2320925" y="9220200"/>
          <a:ext cx="2755265" cy="410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2</xdr:col>
      <xdr:colOff>609600</xdr:colOff>
      <xdr:row>37</xdr:row>
      <xdr:rowOff>127000</xdr:rowOff>
    </xdr:from>
    <xdr:to>
      <xdr:col>6</xdr:col>
      <xdr:colOff>800100</xdr:colOff>
      <xdr:row>48</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NonIndustrial_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4</xdr:col>
      <xdr:colOff>546100</xdr:colOff>
      <xdr:row>1</xdr:row>
      <xdr:rowOff>133350</xdr:rowOff>
    </xdr:from>
    <xdr:to>
      <xdr:col>8</xdr:col>
      <xdr:colOff>228600</xdr:colOff>
      <xdr:row>7</xdr:row>
      <xdr:rowOff>88900</xdr:rowOff>
    </xdr:to>
    <xdr:sp macro="[0]!ExportIndustrial_Click" textlink="">
      <xdr:nvSpPr>
        <xdr:cNvPr id="5" name="Rounded Rectangle 4">
          <a:extLst>
            <a:ext uri="{FF2B5EF4-FFF2-40B4-BE49-F238E27FC236}">
              <a16:creationId xmlns:a16="http://schemas.microsoft.com/office/drawing/2014/main" id="{00000000-0008-0000-0600-000005000000}"/>
            </a:ext>
          </a:extLst>
        </xdr:cNvPr>
        <xdr:cNvSpPr/>
      </xdr:nvSpPr>
      <xdr:spPr>
        <a:xfrm>
          <a:off x="3238500" y="3238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2</xdr:col>
      <xdr:colOff>609600</xdr:colOff>
      <xdr:row>10</xdr:row>
      <xdr:rowOff>6350</xdr:rowOff>
    </xdr:from>
    <xdr:to>
      <xdr:col>6</xdr:col>
      <xdr:colOff>12700</xdr:colOff>
      <xdr:row>16</xdr:row>
      <xdr:rowOff>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1955800" y="19113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8"/>
  <sheetViews>
    <sheetView workbookViewId="0">
      <pane ySplit="1" topLeftCell="A4" activePane="bottomLeft" state="frozen"/>
      <selection pane="bottomLeft" activeCell="B22" sqref="B22:E22"/>
    </sheetView>
  </sheetViews>
  <sheetFormatPr baseColWidth="10" defaultColWidth="8.83203125" defaultRowHeight="15"/>
  <cols>
    <col min="2" max="2" width="20.5" customWidth="1"/>
    <col min="3" max="3" width="19.5" customWidth="1"/>
    <col min="4" max="4" width="10.6640625" bestFit="1" customWidth="1"/>
    <col min="5" max="5" width="17" bestFit="1" customWidth="1"/>
  </cols>
  <sheetData>
    <row r="1" spans="2:5" s="11" customFormat="1" ht="74.25" customHeight="1">
      <c r="B1" s="66" t="s">
        <v>276</v>
      </c>
      <c r="C1" s="67"/>
      <c r="D1" s="67"/>
      <c r="E1" s="68"/>
    </row>
    <row r="2" spans="2:5" s="32" customFormat="1" ht="74.25" customHeight="1">
      <c r="B2" s="30"/>
      <c r="C2" s="31"/>
      <c r="D2" s="31"/>
    </row>
    <row r="3" spans="2:5" s="32" customFormat="1" ht="74.25" customHeight="1">
      <c r="B3" s="30"/>
      <c r="C3" s="31"/>
      <c r="D3" s="31"/>
    </row>
    <row r="4" spans="2:5" s="32" customFormat="1" ht="74.25" customHeight="1">
      <c r="B4" s="30"/>
      <c r="C4" s="31"/>
      <c r="D4" s="31"/>
    </row>
    <row r="5" spans="2:5">
      <c r="B5" s="12" t="s">
        <v>280</v>
      </c>
      <c r="C5" s="12" t="s">
        <v>277</v>
      </c>
      <c r="D5" s="12" t="s">
        <v>281</v>
      </c>
      <c r="E5" s="12" t="s">
        <v>282</v>
      </c>
    </row>
    <row r="6" spans="2:5">
      <c r="B6" s="14" t="s">
        <v>283</v>
      </c>
      <c r="C6" s="13" t="s">
        <v>284</v>
      </c>
      <c r="D6" s="15">
        <v>41175</v>
      </c>
      <c r="E6" s="13" t="s">
        <v>285</v>
      </c>
    </row>
    <row r="7" spans="2:5">
      <c r="B7" s="14" t="s">
        <v>306</v>
      </c>
      <c r="C7" s="13" t="s">
        <v>307</v>
      </c>
      <c r="D7" s="15">
        <v>41192</v>
      </c>
      <c r="E7" s="13" t="s">
        <v>285</v>
      </c>
    </row>
    <row r="8" spans="2:5">
      <c r="B8" s="14" t="s">
        <v>310</v>
      </c>
      <c r="C8" s="13" t="s">
        <v>307</v>
      </c>
      <c r="D8" s="15">
        <v>41199</v>
      </c>
      <c r="E8" s="13" t="s">
        <v>285</v>
      </c>
    </row>
    <row r="9" spans="2:5" ht="16">
      <c r="B9" s="25" t="s">
        <v>311</v>
      </c>
      <c r="C9" s="26" t="s">
        <v>312</v>
      </c>
      <c r="D9" s="27">
        <v>41243</v>
      </c>
      <c r="E9" s="26" t="s">
        <v>285</v>
      </c>
    </row>
    <row r="10" spans="2:5" ht="32">
      <c r="B10" s="33" t="s">
        <v>314</v>
      </c>
      <c r="C10" s="34" t="s">
        <v>315</v>
      </c>
      <c r="D10" s="35">
        <v>41269</v>
      </c>
      <c r="E10" s="34" t="s">
        <v>285</v>
      </c>
    </row>
    <row r="11" spans="2:5" ht="48">
      <c r="B11" s="25" t="s">
        <v>332</v>
      </c>
      <c r="C11" s="26" t="s">
        <v>347</v>
      </c>
      <c r="D11" s="27">
        <v>42296</v>
      </c>
      <c r="E11" s="26" t="s">
        <v>333</v>
      </c>
    </row>
    <row r="12" spans="2:5" ht="16">
      <c r="B12" s="25" t="s">
        <v>335</v>
      </c>
      <c r="C12" s="26" t="s">
        <v>336</v>
      </c>
      <c r="D12" s="27">
        <v>42985</v>
      </c>
      <c r="E12" s="26" t="s">
        <v>337</v>
      </c>
    </row>
    <row r="13" spans="2:5" ht="32">
      <c r="B13" s="25" t="s">
        <v>341</v>
      </c>
      <c r="C13" s="26" t="s">
        <v>342</v>
      </c>
      <c r="D13" s="27">
        <v>42989</v>
      </c>
      <c r="E13" s="26" t="s">
        <v>337</v>
      </c>
    </row>
    <row r="14" spans="2:5" ht="32">
      <c r="B14" s="25" t="s">
        <v>343</v>
      </c>
      <c r="C14" s="26" t="s">
        <v>344</v>
      </c>
      <c r="D14" s="27">
        <v>43139</v>
      </c>
      <c r="E14" s="26" t="s">
        <v>337</v>
      </c>
    </row>
    <row r="15" spans="2:5" ht="78" customHeight="1">
      <c r="B15" s="25" t="s">
        <v>345</v>
      </c>
      <c r="C15" s="26" t="s">
        <v>346</v>
      </c>
      <c r="D15" s="27">
        <v>43433</v>
      </c>
      <c r="E15" s="26" t="s">
        <v>333</v>
      </c>
    </row>
    <row r="16" spans="2:5" ht="78" customHeight="1">
      <c r="B16" s="25" t="s">
        <v>350</v>
      </c>
      <c r="C16" s="26" t="s">
        <v>351</v>
      </c>
      <c r="D16" s="27">
        <v>43686</v>
      </c>
      <c r="E16" s="26" t="s">
        <v>352</v>
      </c>
    </row>
    <row r="18" spans="2:5" ht="19">
      <c r="B18" s="10" t="s">
        <v>277</v>
      </c>
    </row>
    <row r="19" spans="2:5" s="16" customFormat="1" ht="124.5" customHeight="1">
      <c r="B19" s="69" t="s">
        <v>286</v>
      </c>
      <c r="C19" s="70"/>
      <c r="D19" s="70"/>
      <c r="E19" s="70"/>
    </row>
    <row r="21" spans="2:5" ht="19">
      <c r="B21" s="10" t="s">
        <v>278</v>
      </c>
    </row>
    <row r="22" spans="2:5" s="3" customFormat="1" ht="192" customHeight="1">
      <c r="B22" s="69" t="s">
        <v>305</v>
      </c>
      <c r="C22" s="70"/>
      <c r="D22" s="70"/>
      <c r="E22" s="70"/>
    </row>
    <row r="24" spans="2:5" ht="19">
      <c r="B24" s="10" t="s">
        <v>279</v>
      </c>
    </row>
    <row r="25" spans="2:5" s="1" customFormat="1" ht="123" customHeight="1">
      <c r="B25" s="69" t="s">
        <v>313</v>
      </c>
      <c r="C25" s="70"/>
      <c r="D25" s="70"/>
      <c r="E25" s="70"/>
    </row>
    <row r="27" spans="2:5" ht="19">
      <c r="B27" s="10" t="s">
        <v>316</v>
      </c>
    </row>
    <row r="28" spans="2:5" ht="50" customHeight="1">
      <c r="B28" s="71" t="s">
        <v>353</v>
      </c>
      <c r="C28" s="71"/>
      <c r="D28" s="71"/>
      <c r="E28" s="71"/>
    </row>
  </sheetData>
  <mergeCells count="5">
    <mergeCell ref="B1:E1"/>
    <mergeCell ref="B19:E19"/>
    <mergeCell ref="B22:E22"/>
    <mergeCell ref="B25:E25"/>
    <mergeCell ref="B28:E28"/>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263"/>
  <sheetViews>
    <sheetView tabSelected="1" zoomScaleNormal="100" workbookViewId="0">
      <pane ySplit="1" topLeftCell="A2" activePane="bottomLeft" state="frozen"/>
      <selection pane="bottomLeft" activeCell="H13" sqref="H13"/>
    </sheetView>
  </sheetViews>
  <sheetFormatPr baseColWidth="10" defaultColWidth="8.83203125" defaultRowHeight="15" outlineLevelRow="1"/>
  <cols>
    <col min="1" max="1" width="4.33203125" style="3" customWidth="1"/>
    <col min="2" max="2" width="1.33203125" style="3" customWidth="1"/>
    <col min="3" max="3" width="26.5" style="1" bestFit="1" customWidth="1"/>
    <col min="4" max="4" width="19.33203125" style="38" customWidth="1"/>
    <col min="5" max="5" width="12.5" style="3" customWidth="1"/>
    <col min="6" max="6" width="8.83203125" style="3"/>
    <col min="7" max="8" width="25.5" style="3" customWidth="1"/>
    <col min="9" max="12" width="25.5" style="3" hidden="1" customWidth="1"/>
    <col min="13" max="13" width="40.1640625" style="3" hidden="1" customWidth="1"/>
    <col min="14" max="14" width="32.33203125" style="3" hidden="1" customWidth="1"/>
    <col min="15" max="15" width="25.5" style="3" hidden="1" customWidth="1"/>
    <col min="16" max="16384" width="8.83203125" style="3"/>
  </cols>
  <sheetData>
    <row r="1" spans="2:15" ht="7.25" customHeight="1" thickBot="1"/>
    <row r="2" spans="2:15" s="2" customFormat="1" ht="16" customHeight="1" thickTop="1">
      <c r="B2" s="84" t="s">
        <v>37</v>
      </c>
      <c r="C2" s="85"/>
      <c r="D2" s="85"/>
      <c r="E2" s="85"/>
      <c r="F2" s="85"/>
      <c r="G2" s="86"/>
      <c r="H2" s="7"/>
      <c r="J2" s="3"/>
    </row>
    <row r="3" spans="2:15" ht="16" thickBot="1">
      <c r="B3" s="39"/>
      <c r="C3" s="3" t="str">
        <f>CONCATENATE("*",Patients!A1)</f>
        <v>*Study Id</v>
      </c>
      <c r="D3" s="40"/>
      <c r="E3" s="3" t="str">
        <f>Collections!B1</f>
        <v>Change Code</v>
      </c>
      <c r="F3" s="62"/>
      <c r="G3" s="41"/>
      <c r="H3" s="42"/>
    </row>
    <row r="4" spans="2:15" ht="6" customHeight="1" thickTop="1" thickBot="1">
      <c r="B4" s="43"/>
      <c r="C4" s="5"/>
      <c r="D4" s="44"/>
      <c r="E4" s="5"/>
      <c r="F4" s="45"/>
      <c r="G4" s="46"/>
      <c r="H4" s="42"/>
    </row>
    <row r="5" spans="2:15" ht="16" thickTop="1">
      <c r="B5" s="42"/>
      <c r="C5" s="4"/>
      <c r="D5" s="47"/>
      <c r="E5" s="4"/>
      <c r="F5" s="42"/>
      <c r="G5" s="42"/>
      <c r="H5" s="42"/>
    </row>
    <row r="6" spans="2:15" ht="44.25" customHeight="1">
      <c r="B6" s="42"/>
      <c r="C6" s="22" t="s">
        <v>288</v>
      </c>
      <c r="D6" s="47"/>
      <c r="E6" s="4"/>
      <c r="F6" s="42"/>
      <c r="G6" s="42"/>
      <c r="H6" s="42"/>
      <c r="I6" s="2" t="str">
        <f>E3</f>
        <v>Change Code</v>
      </c>
      <c r="J6" s="1" t="str">
        <f>C11</f>
        <v>*Country of Residence</v>
      </c>
      <c r="K6" s="2" t="str">
        <f>C13</f>
        <v>*Gender of a Person</v>
      </c>
      <c r="L6" s="2" t="str">
        <f>C14</f>
        <v>*Ethnicity</v>
      </c>
      <c r="M6" s="2" t="str">
        <f>C15</f>
        <v>Payment Method</v>
      </c>
      <c r="N6" s="2" t="str">
        <f>C20</f>
        <v>*Race</v>
      </c>
      <c r="O6" s="1" t="s">
        <v>317</v>
      </c>
    </row>
    <row r="7" spans="2:15" ht="16" thickBot="1">
      <c r="D7" s="47"/>
      <c r="E7" s="1"/>
      <c r="F7" s="42"/>
      <c r="I7" s="61">
        <v>1</v>
      </c>
      <c r="J7" s="3" t="s">
        <v>38</v>
      </c>
      <c r="K7" s="61" t="s">
        <v>15</v>
      </c>
      <c r="L7" s="3" t="s">
        <v>18</v>
      </c>
      <c r="M7" s="3" t="s">
        <v>21</v>
      </c>
      <c r="N7" s="3" t="s">
        <v>33</v>
      </c>
      <c r="O7" s="3" t="s">
        <v>318</v>
      </c>
    </row>
    <row r="8" spans="2:15" ht="17" outlineLevel="1" thickTop="1">
      <c r="B8" s="48"/>
      <c r="C8" s="6"/>
      <c r="D8" s="37" t="s">
        <v>308</v>
      </c>
      <c r="E8" s="87" t="s">
        <v>348</v>
      </c>
      <c r="F8" s="88"/>
      <c r="G8" s="89"/>
      <c r="H8" s="4"/>
      <c r="I8" s="61">
        <v>2</v>
      </c>
      <c r="J8" s="3" t="s">
        <v>39</v>
      </c>
      <c r="K8" s="61" t="s">
        <v>14</v>
      </c>
      <c r="L8" s="3" t="s">
        <v>19</v>
      </c>
      <c r="M8" s="3" t="s">
        <v>22</v>
      </c>
      <c r="N8" s="3" t="s">
        <v>34</v>
      </c>
      <c r="O8" s="3" t="s">
        <v>320</v>
      </c>
    </row>
    <row r="9" spans="2:15" ht="16" customHeight="1" outlineLevel="1" thickBot="1">
      <c r="B9" s="39"/>
      <c r="C9" s="3" t="str">
        <f>CONCATENATE("*",Patients!B1)</f>
        <v xml:space="preserve">*Study Subject Identifier </v>
      </c>
      <c r="D9" s="40"/>
      <c r="E9" s="90" t="s">
        <v>356</v>
      </c>
      <c r="F9" s="91"/>
      <c r="G9" s="92"/>
      <c r="H9" s="42"/>
      <c r="J9" s="3" t="s">
        <v>40</v>
      </c>
      <c r="K9" s="61" t="s">
        <v>16</v>
      </c>
      <c r="L9" s="3" t="s">
        <v>20</v>
      </c>
      <c r="M9" s="3" t="s">
        <v>23</v>
      </c>
      <c r="N9" s="3" t="s">
        <v>35</v>
      </c>
      <c r="O9" s="3" t="s">
        <v>319</v>
      </c>
    </row>
    <row r="10" spans="2:15" ht="17" outlineLevel="1" thickTop="1" thickBot="1">
      <c r="B10" s="39"/>
      <c r="C10" s="3" t="str">
        <f>CONCATENATE("*",Patients!C1)</f>
        <v>*Zip Code (if US)</v>
      </c>
      <c r="D10" s="49"/>
      <c r="E10" s="93"/>
      <c r="F10" s="94"/>
      <c r="G10" s="95"/>
      <c r="H10" s="42"/>
      <c r="J10" s="3" t="s">
        <v>41</v>
      </c>
      <c r="K10" s="61" t="s">
        <v>357</v>
      </c>
      <c r="L10" s="3" t="s">
        <v>16</v>
      </c>
      <c r="M10" s="3" t="s">
        <v>24</v>
      </c>
      <c r="N10" s="3" t="s">
        <v>36</v>
      </c>
      <c r="O10" s="3" t="s">
        <v>321</v>
      </c>
    </row>
    <row r="11" spans="2:15" ht="17" outlineLevel="1" thickTop="1" thickBot="1">
      <c r="B11" s="39"/>
      <c r="C11" s="3" t="str">
        <f>CONCATENATE("*",Patients!D1)</f>
        <v>*Country of Residence</v>
      </c>
      <c r="D11" s="40"/>
      <c r="E11" s="93"/>
      <c r="F11" s="94"/>
      <c r="G11" s="95"/>
      <c r="H11" s="42"/>
      <c r="J11" s="3" t="s">
        <v>42</v>
      </c>
      <c r="K11" s="61" t="s">
        <v>17</v>
      </c>
      <c r="M11" s="3" t="s">
        <v>25</v>
      </c>
      <c r="N11" s="3" t="s">
        <v>20</v>
      </c>
    </row>
    <row r="12" spans="2:15" ht="17" outlineLevel="1" thickTop="1" thickBot="1">
      <c r="B12" s="39"/>
      <c r="C12" s="3" t="str">
        <f>CONCATENATE("*",Patients!E1)</f>
        <v>*Patient’s Date of Birth</v>
      </c>
      <c r="D12" s="50"/>
      <c r="E12" s="93"/>
      <c r="F12" s="94"/>
      <c r="G12" s="95"/>
      <c r="H12" s="42"/>
      <c r="J12" s="3" t="s">
        <v>43</v>
      </c>
      <c r="M12" s="3" t="s">
        <v>287</v>
      </c>
      <c r="N12" s="3" t="s">
        <v>16</v>
      </c>
    </row>
    <row r="13" spans="2:15" ht="17" outlineLevel="1" thickTop="1" thickBot="1">
      <c r="B13" s="39"/>
      <c r="C13" s="3" t="str">
        <f>CONCATENATE("*",Patients!F1)</f>
        <v>*Gender of a Person</v>
      </c>
      <c r="D13" s="40"/>
      <c r="E13" s="93"/>
      <c r="F13" s="94"/>
      <c r="G13" s="95"/>
      <c r="H13" s="42"/>
      <c r="J13" s="3" t="s">
        <v>44</v>
      </c>
      <c r="M13" s="3" t="s">
        <v>26</v>
      </c>
      <c r="N13" s="3" t="s">
        <v>340</v>
      </c>
    </row>
    <row r="14" spans="2:15" ht="17" outlineLevel="1" thickTop="1" thickBot="1">
      <c r="B14" s="39"/>
      <c r="C14" s="3" t="str">
        <f>CONCATENATE("*",Patients!G1)</f>
        <v>*Ethnicity</v>
      </c>
      <c r="D14" s="52"/>
      <c r="E14" s="93"/>
      <c r="F14" s="94"/>
      <c r="G14" s="95"/>
      <c r="H14" s="42"/>
      <c r="J14" s="3" t="s">
        <v>45</v>
      </c>
      <c r="M14" s="3" t="s">
        <v>27</v>
      </c>
    </row>
    <row r="15" spans="2:15" ht="17" outlineLevel="1" thickTop="1" thickBot="1">
      <c r="B15" s="39"/>
      <c r="C15" s="3" t="str">
        <f>Patients!H1</f>
        <v>Payment Method</v>
      </c>
      <c r="D15" s="51"/>
      <c r="E15" s="93"/>
      <c r="F15" s="94"/>
      <c r="G15" s="95"/>
      <c r="H15" s="42"/>
      <c r="J15" s="3" t="s">
        <v>46</v>
      </c>
      <c r="M15" s="3" t="s">
        <v>28</v>
      </c>
    </row>
    <row r="16" spans="2:15" ht="17" outlineLevel="1" thickTop="1" thickBot="1">
      <c r="B16" s="39"/>
      <c r="C16" s="3" t="str">
        <f>CONCATENATE("*",Patients!I1)</f>
        <v>*Subject Registration Date</v>
      </c>
      <c r="D16" s="52"/>
      <c r="E16" s="93"/>
      <c r="F16" s="94"/>
      <c r="G16" s="95"/>
      <c r="H16" s="42"/>
      <c r="J16" s="3" t="s">
        <v>47</v>
      </c>
      <c r="M16" s="3" t="s">
        <v>29</v>
      </c>
    </row>
    <row r="17" spans="2:20" ht="17" outlineLevel="1" thickTop="1" thickBot="1">
      <c r="B17" s="39"/>
      <c r="C17" s="3" t="str">
        <f>Patients!J1</f>
        <v>Registering Group Identifier</v>
      </c>
      <c r="D17" s="40"/>
      <c r="E17" s="93"/>
      <c r="F17" s="94"/>
      <c r="G17" s="95"/>
      <c r="H17" s="42"/>
      <c r="J17" s="3" t="s">
        <v>48</v>
      </c>
      <c r="M17" s="3" t="s">
        <v>30</v>
      </c>
      <c r="T17" s="64"/>
    </row>
    <row r="18" spans="2:20" ht="17" outlineLevel="1" thickTop="1" thickBot="1">
      <c r="B18" s="39"/>
      <c r="C18" s="3" t="str">
        <f>CONCATENATE("*",Patients!K1)</f>
        <v>*Study Site Identifier</v>
      </c>
      <c r="D18" s="40"/>
      <c r="E18" s="93"/>
      <c r="F18" s="94"/>
      <c r="G18" s="95"/>
      <c r="H18" s="42"/>
      <c r="J18" s="3" t="s">
        <v>49</v>
      </c>
      <c r="M18" s="3" t="s">
        <v>31</v>
      </c>
    </row>
    <row r="19" spans="2:20" ht="17" outlineLevel="1" thickTop="1" thickBot="1">
      <c r="B19" s="39"/>
      <c r="C19" s="3" t="str">
        <f>CONCATENATE("*",Patients!L1)</f>
        <v>*Subject Disease Code</v>
      </c>
      <c r="D19" s="40"/>
      <c r="E19" s="93"/>
      <c r="F19" s="94"/>
      <c r="G19" s="95"/>
      <c r="H19" s="42"/>
      <c r="J19" s="3" t="s">
        <v>50</v>
      </c>
      <c r="M19" s="3" t="s">
        <v>16</v>
      </c>
    </row>
    <row r="20" spans="2:20" ht="17" outlineLevel="1" thickTop="1" thickBot="1">
      <c r="B20" s="39"/>
      <c r="C20" s="3" t="str">
        <f>CONCATENATE("*",Races!C1)</f>
        <v>*Race</v>
      </c>
      <c r="D20" s="51"/>
      <c r="E20" s="93"/>
      <c r="F20" s="94"/>
      <c r="G20" s="95"/>
      <c r="H20" s="42"/>
      <c r="J20" s="3" t="s">
        <v>51</v>
      </c>
      <c r="M20" s="3" t="s">
        <v>32</v>
      </c>
    </row>
    <row r="21" spans="2:20" ht="17" outlineLevel="1" thickTop="1" thickBot="1">
      <c r="B21" s="39"/>
      <c r="C21" s="3" t="str">
        <f>Races!C1</f>
        <v>Race</v>
      </c>
      <c r="D21" s="51"/>
      <c r="E21" s="96"/>
      <c r="F21" s="97"/>
      <c r="G21" s="98"/>
      <c r="H21" s="42"/>
      <c r="J21" s="3" t="s">
        <v>52</v>
      </c>
    </row>
    <row r="22" spans="2:20" ht="17" outlineLevel="1" thickTop="1" thickBot="1">
      <c r="B22" s="39"/>
      <c r="C22" s="3" t="str">
        <f>Races!C1</f>
        <v>Race</v>
      </c>
      <c r="D22" s="51"/>
      <c r="E22" s="99"/>
      <c r="F22" s="100"/>
      <c r="G22" s="101"/>
      <c r="H22" s="42"/>
      <c r="J22" s="3" t="s">
        <v>53</v>
      </c>
    </row>
    <row r="23" spans="2:20" ht="17" outlineLevel="1" thickTop="1" thickBot="1">
      <c r="B23" s="39"/>
      <c r="C23" s="3" t="str">
        <f>Races!C1</f>
        <v>Race</v>
      </c>
      <c r="D23" s="51"/>
      <c r="E23" s="99"/>
      <c r="F23" s="100"/>
      <c r="G23" s="101"/>
      <c r="H23" s="42"/>
      <c r="J23" s="3" t="s">
        <v>54</v>
      </c>
    </row>
    <row r="24" spans="2:20" ht="18.75" customHeight="1" outlineLevel="1" thickTop="1" thickBot="1">
      <c r="B24" s="43"/>
      <c r="C24" s="5"/>
      <c r="D24" s="53"/>
      <c r="E24" s="102"/>
      <c r="F24" s="103"/>
      <c r="G24" s="104"/>
      <c r="J24" s="3" t="s">
        <v>55</v>
      </c>
      <c r="P24" s="64"/>
    </row>
    <row r="25" spans="2:20" ht="16" thickTop="1">
      <c r="H25" s="42"/>
      <c r="J25" s="3" t="s">
        <v>56</v>
      </c>
    </row>
    <row r="26" spans="2:20" ht="16" hidden="1" outlineLevel="1" thickTop="1">
      <c r="B26" s="48"/>
      <c r="C26" s="6"/>
      <c r="D26" s="60" t="s">
        <v>309</v>
      </c>
      <c r="E26" s="54"/>
      <c r="F26" s="54"/>
      <c r="G26" s="55"/>
      <c r="H26" s="42"/>
      <c r="J26" s="3" t="s">
        <v>57</v>
      </c>
    </row>
    <row r="27" spans="2:20" ht="16" hidden="1" outlineLevel="1" thickBot="1">
      <c r="B27" s="39"/>
      <c r="C27" s="3" t="str">
        <f>CONCATENATE("*",'Accrual Count'!B1)</f>
        <v>*Study Site Identifier</v>
      </c>
      <c r="D27" s="40"/>
      <c r="E27" s="42"/>
      <c r="F27" s="42"/>
      <c r="G27" s="105"/>
      <c r="H27" s="42"/>
      <c r="J27" s="3" t="s">
        <v>58</v>
      </c>
    </row>
    <row r="28" spans="2:20" ht="17" hidden="1" outlineLevel="1" thickTop="1" thickBot="1">
      <c r="B28" s="39"/>
      <c r="C28" s="3" t="str">
        <f>CONCATENATE("*",'Accrual Count'!C1)</f>
        <v>*Study Site Accrual Count</v>
      </c>
      <c r="D28" s="56"/>
      <c r="E28" s="42"/>
      <c r="F28" s="42"/>
      <c r="G28" s="105"/>
      <c r="H28" s="42"/>
      <c r="J28" s="3" t="s">
        <v>59</v>
      </c>
    </row>
    <row r="29" spans="2:20" ht="16" hidden="1" outlineLevel="1" thickTop="1">
      <c r="B29" s="39"/>
      <c r="C29" s="57" t="s">
        <v>334</v>
      </c>
      <c r="D29" s="59"/>
      <c r="E29" s="42" t="s">
        <v>349</v>
      </c>
      <c r="F29" s="42"/>
      <c r="G29" s="41"/>
      <c r="J29" s="3" t="s">
        <v>60</v>
      </c>
    </row>
    <row r="30" spans="2:20" ht="16" hidden="1" customHeight="1" collapsed="1">
      <c r="B30" s="72" t="s">
        <v>355</v>
      </c>
      <c r="C30" s="73"/>
      <c r="D30" s="73"/>
      <c r="E30" s="73"/>
      <c r="F30" s="73"/>
      <c r="G30" s="74"/>
      <c r="J30" s="3" t="s">
        <v>61</v>
      </c>
    </row>
    <row r="31" spans="2:20" hidden="1">
      <c r="B31" s="75"/>
      <c r="C31" s="76"/>
      <c r="D31" s="76"/>
      <c r="E31" s="76"/>
      <c r="F31" s="76"/>
      <c r="G31" s="77"/>
      <c r="J31" s="3" t="s">
        <v>62</v>
      </c>
    </row>
    <row r="32" spans="2:20" hidden="1">
      <c r="B32" s="75"/>
      <c r="C32" s="76"/>
      <c r="D32" s="76"/>
      <c r="E32" s="76"/>
      <c r="F32" s="76"/>
      <c r="G32" s="77"/>
      <c r="J32" s="3" t="s">
        <v>63</v>
      </c>
    </row>
    <row r="33" spans="2:10" hidden="1">
      <c r="B33" s="75"/>
      <c r="C33" s="76"/>
      <c r="D33" s="76"/>
      <c r="E33" s="76"/>
      <c r="F33" s="76"/>
      <c r="G33" s="77"/>
      <c r="J33" s="3" t="s">
        <v>64</v>
      </c>
    </row>
    <row r="34" spans="2:10" hidden="1">
      <c r="B34" s="75"/>
      <c r="C34" s="76"/>
      <c r="D34" s="76"/>
      <c r="E34" s="76"/>
      <c r="F34" s="76"/>
      <c r="G34" s="77"/>
      <c r="J34" s="3" t="s">
        <v>65</v>
      </c>
    </row>
    <row r="35" spans="2:10" hidden="1">
      <c r="B35" s="75"/>
      <c r="C35" s="76"/>
      <c r="D35" s="76"/>
      <c r="E35" s="76"/>
      <c r="F35" s="76"/>
      <c r="G35" s="77"/>
      <c r="J35" s="3" t="s">
        <v>66</v>
      </c>
    </row>
    <row r="36" spans="2:10" hidden="1">
      <c r="B36" s="75"/>
      <c r="C36" s="76"/>
      <c r="D36" s="76"/>
      <c r="E36" s="76"/>
      <c r="F36" s="76"/>
      <c r="G36" s="77"/>
      <c r="J36" s="3" t="s">
        <v>67</v>
      </c>
    </row>
    <row r="37" spans="2:10" hidden="1">
      <c r="B37" s="75"/>
      <c r="C37" s="76"/>
      <c r="D37" s="76"/>
      <c r="E37" s="76"/>
      <c r="F37" s="76"/>
      <c r="G37" s="77"/>
      <c r="J37" s="3" t="s">
        <v>68</v>
      </c>
    </row>
    <row r="38" spans="2:10" hidden="1">
      <c r="B38" s="75"/>
      <c r="C38" s="76"/>
      <c r="D38" s="76"/>
      <c r="E38" s="76"/>
      <c r="F38" s="76"/>
      <c r="G38" s="77"/>
      <c r="J38" s="3" t="s">
        <v>69</v>
      </c>
    </row>
    <row r="39" spans="2:10" hidden="1">
      <c r="B39" s="75"/>
      <c r="C39" s="76"/>
      <c r="D39" s="76"/>
      <c r="E39" s="76"/>
      <c r="F39" s="76"/>
      <c r="G39" s="77"/>
      <c r="J39" s="3" t="s">
        <v>70</v>
      </c>
    </row>
    <row r="40" spans="2:10" hidden="1">
      <c r="B40" s="75"/>
      <c r="C40" s="76"/>
      <c r="D40" s="76"/>
      <c r="E40" s="76"/>
      <c r="F40" s="76"/>
      <c r="G40" s="77"/>
      <c r="J40" s="3" t="s">
        <v>71</v>
      </c>
    </row>
    <row r="41" spans="2:10" hidden="1">
      <c r="B41" s="75"/>
      <c r="C41" s="76"/>
      <c r="D41" s="76"/>
      <c r="E41" s="76"/>
      <c r="F41" s="76"/>
      <c r="G41" s="77"/>
      <c r="J41" s="3" t="s">
        <v>72</v>
      </c>
    </row>
    <row r="42" spans="2:10" hidden="1">
      <c r="B42" s="75"/>
      <c r="C42" s="76"/>
      <c r="D42" s="76"/>
      <c r="E42" s="76"/>
      <c r="F42" s="76"/>
      <c r="G42" s="77"/>
      <c r="J42" s="3" t="s">
        <v>73</v>
      </c>
    </row>
    <row r="43" spans="2:10" hidden="1">
      <c r="B43" s="75"/>
      <c r="C43" s="76"/>
      <c r="D43" s="76"/>
      <c r="E43" s="76"/>
      <c r="F43" s="76"/>
      <c r="G43" s="77"/>
      <c r="J43" s="3" t="s">
        <v>74</v>
      </c>
    </row>
    <row r="44" spans="2:10" hidden="1">
      <c r="B44" s="75"/>
      <c r="C44" s="76"/>
      <c r="D44" s="76"/>
      <c r="E44" s="76"/>
      <c r="F44" s="76"/>
      <c r="G44" s="77"/>
      <c r="J44" s="3" t="s">
        <v>75</v>
      </c>
    </row>
    <row r="45" spans="2:10" hidden="1">
      <c r="B45" s="75"/>
      <c r="C45" s="76"/>
      <c r="D45" s="76"/>
      <c r="E45" s="76"/>
      <c r="F45" s="76"/>
      <c r="G45" s="77"/>
      <c r="J45" s="3" t="s">
        <v>76</v>
      </c>
    </row>
    <row r="46" spans="2:10" hidden="1">
      <c r="B46" s="75"/>
      <c r="C46" s="76"/>
      <c r="D46" s="76"/>
      <c r="E46" s="76"/>
      <c r="F46" s="76"/>
      <c r="G46" s="77"/>
      <c r="J46" s="3" t="s">
        <v>77</v>
      </c>
    </row>
    <row r="47" spans="2:10" hidden="1">
      <c r="B47" s="75"/>
      <c r="C47" s="76"/>
      <c r="D47" s="76"/>
      <c r="E47" s="76"/>
      <c r="F47" s="76"/>
      <c r="G47" s="77"/>
      <c r="J47" s="3" t="s">
        <v>78</v>
      </c>
    </row>
    <row r="48" spans="2:10" hidden="1">
      <c r="B48" s="75"/>
      <c r="C48" s="76"/>
      <c r="D48" s="76"/>
      <c r="E48" s="76"/>
      <c r="F48" s="76"/>
      <c r="G48" s="77"/>
      <c r="J48" s="3" t="s">
        <v>79</v>
      </c>
    </row>
    <row r="49" spans="2:10" hidden="1">
      <c r="B49" s="75"/>
      <c r="C49" s="76"/>
      <c r="D49" s="76"/>
      <c r="E49" s="76"/>
      <c r="F49" s="76"/>
      <c r="G49" s="77"/>
      <c r="J49" s="3" t="s">
        <v>80</v>
      </c>
    </row>
    <row r="50" spans="2:10" hidden="1">
      <c r="B50" s="75"/>
      <c r="C50" s="76"/>
      <c r="D50" s="76"/>
      <c r="E50" s="76"/>
      <c r="F50" s="76"/>
      <c r="G50" s="77"/>
      <c r="J50" s="3" t="s">
        <v>81</v>
      </c>
    </row>
    <row r="51" spans="2:10" hidden="1">
      <c r="B51" s="75"/>
      <c r="C51" s="76"/>
      <c r="D51" s="76"/>
      <c r="E51" s="76"/>
      <c r="F51" s="76"/>
      <c r="G51" s="77"/>
      <c r="J51" s="3" t="s">
        <v>82</v>
      </c>
    </row>
    <row r="52" spans="2:10" hidden="1">
      <c r="B52" s="75"/>
      <c r="C52" s="76"/>
      <c r="D52" s="76"/>
      <c r="E52" s="76"/>
      <c r="F52" s="76"/>
      <c r="G52" s="77"/>
      <c r="J52" s="3" t="s">
        <v>83</v>
      </c>
    </row>
    <row r="53" spans="2:10" hidden="1">
      <c r="B53" s="75"/>
      <c r="C53" s="76"/>
      <c r="D53" s="76"/>
      <c r="E53" s="76"/>
      <c r="F53" s="76"/>
      <c r="G53" s="77"/>
      <c r="J53" s="3" t="s">
        <v>84</v>
      </c>
    </row>
    <row r="54" spans="2:10" hidden="1">
      <c r="B54" s="75"/>
      <c r="C54" s="76"/>
      <c r="D54" s="76"/>
      <c r="E54" s="76"/>
      <c r="F54" s="76"/>
      <c r="G54" s="77"/>
      <c r="J54" s="3" t="s">
        <v>85</v>
      </c>
    </row>
    <row r="55" spans="2:10" hidden="1">
      <c r="B55" s="75"/>
      <c r="C55" s="76"/>
      <c r="D55" s="76"/>
      <c r="E55" s="76"/>
      <c r="F55" s="76"/>
      <c r="G55" s="77"/>
      <c r="J55" s="3" t="s">
        <v>86</v>
      </c>
    </row>
    <row r="56" spans="2:10" ht="15" hidden="1" customHeight="1">
      <c r="B56" s="78" t="s">
        <v>354</v>
      </c>
      <c r="C56" s="79"/>
      <c r="D56" s="79"/>
      <c r="E56" s="79"/>
      <c r="F56" s="79"/>
      <c r="G56" s="80"/>
      <c r="J56" s="3" t="s">
        <v>87</v>
      </c>
    </row>
    <row r="57" spans="2:10" hidden="1">
      <c r="B57" s="78"/>
      <c r="C57" s="79"/>
      <c r="D57" s="79"/>
      <c r="E57" s="79"/>
      <c r="F57" s="79"/>
      <c r="G57" s="80"/>
      <c r="J57" s="3" t="s">
        <v>88</v>
      </c>
    </row>
    <row r="58" spans="2:10" ht="16" hidden="1" thickBot="1">
      <c r="B58" s="81"/>
      <c r="C58" s="82"/>
      <c r="D58" s="82"/>
      <c r="E58" s="82"/>
      <c r="F58" s="82"/>
      <c r="G58" s="83"/>
      <c r="J58" s="3" t="s">
        <v>89</v>
      </c>
    </row>
    <row r="59" spans="2:10" ht="16" hidden="1" thickTop="1">
      <c r="B59" s="63"/>
      <c r="C59" s="63"/>
      <c r="D59" s="63"/>
      <c r="E59" s="63"/>
      <c r="F59" s="63"/>
      <c r="G59" s="63"/>
      <c r="J59" s="3" t="s">
        <v>90</v>
      </c>
    </row>
    <row r="60" spans="2:10">
      <c r="B60" s="63"/>
      <c r="C60" s="63"/>
      <c r="D60" s="63"/>
      <c r="E60" s="63"/>
      <c r="F60" s="63"/>
      <c r="G60" s="63"/>
      <c r="J60" s="3" t="s">
        <v>91</v>
      </c>
    </row>
    <row r="61" spans="2:10">
      <c r="B61" s="63"/>
      <c r="C61" s="63"/>
      <c r="D61" s="63"/>
      <c r="E61" s="63"/>
      <c r="F61" s="63"/>
      <c r="G61" s="63"/>
      <c r="J61" s="3" t="s">
        <v>92</v>
      </c>
    </row>
    <row r="62" spans="2:10">
      <c r="J62" s="3" t="s">
        <v>93</v>
      </c>
    </row>
    <row r="63" spans="2:10">
      <c r="J63" s="3" t="s">
        <v>94</v>
      </c>
    </row>
    <row r="64" spans="2:10">
      <c r="J64" s="3" t="s">
        <v>95</v>
      </c>
    </row>
    <row r="65" spans="8:10">
      <c r="H65" s="65"/>
      <c r="J65" s="3" t="s">
        <v>96</v>
      </c>
    </row>
    <row r="66" spans="8:10">
      <c r="J66" s="3" t="s">
        <v>97</v>
      </c>
    </row>
    <row r="67" spans="8:10">
      <c r="J67" s="3" t="s">
        <v>98</v>
      </c>
    </row>
    <row r="68" spans="8:10">
      <c r="J68" s="3" t="s">
        <v>99</v>
      </c>
    </row>
    <row r="69" spans="8:10">
      <c r="J69" s="3" t="s">
        <v>100</v>
      </c>
    </row>
    <row r="70" spans="8:10">
      <c r="J70" s="3" t="s">
        <v>101</v>
      </c>
    </row>
    <row r="71" spans="8:10">
      <c r="J71" s="3" t="s">
        <v>102</v>
      </c>
    </row>
    <row r="72" spans="8:10">
      <c r="J72" s="3" t="s">
        <v>103</v>
      </c>
    </row>
    <row r="73" spans="8:10">
      <c r="J73" s="3" t="s">
        <v>104</v>
      </c>
    </row>
    <row r="74" spans="8:10">
      <c r="J74" s="3" t="s">
        <v>105</v>
      </c>
    </row>
    <row r="75" spans="8:10">
      <c r="J75" s="3" t="s">
        <v>106</v>
      </c>
    </row>
    <row r="76" spans="8:10">
      <c r="J76" s="3" t="s">
        <v>107</v>
      </c>
    </row>
    <row r="77" spans="8:10">
      <c r="J77" s="3" t="s">
        <v>108</v>
      </c>
    </row>
    <row r="78" spans="8:10">
      <c r="J78" s="3" t="s">
        <v>109</v>
      </c>
    </row>
    <row r="79" spans="8:10">
      <c r="J79" s="3" t="s">
        <v>110</v>
      </c>
    </row>
    <row r="80" spans="8:10">
      <c r="J80" s="3" t="s">
        <v>111</v>
      </c>
    </row>
    <row r="81" spans="10:10">
      <c r="J81" s="3" t="s">
        <v>112</v>
      </c>
    </row>
    <row r="82" spans="10:10">
      <c r="J82" s="3" t="s">
        <v>113</v>
      </c>
    </row>
    <row r="83" spans="10:10">
      <c r="J83" s="3" t="s">
        <v>114</v>
      </c>
    </row>
    <row r="84" spans="10:10">
      <c r="J84" s="3" t="s">
        <v>115</v>
      </c>
    </row>
    <row r="85" spans="10:10">
      <c r="J85" s="3" t="s">
        <v>116</v>
      </c>
    </row>
    <row r="86" spans="10:10">
      <c r="J86" s="3" t="s">
        <v>117</v>
      </c>
    </row>
    <row r="87" spans="10:10">
      <c r="J87" s="3" t="s">
        <v>118</v>
      </c>
    </row>
    <row r="88" spans="10:10">
      <c r="J88" s="3" t="s">
        <v>119</v>
      </c>
    </row>
    <row r="89" spans="10:10">
      <c r="J89" s="3" t="s">
        <v>120</v>
      </c>
    </row>
    <row r="90" spans="10:10">
      <c r="J90" s="3" t="s">
        <v>121</v>
      </c>
    </row>
    <row r="91" spans="10:10">
      <c r="J91" s="3" t="s">
        <v>122</v>
      </c>
    </row>
    <row r="92" spans="10:10">
      <c r="J92" s="3" t="s">
        <v>123</v>
      </c>
    </row>
    <row r="93" spans="10:10">
      <c r="J93" s="3" t="s">
        <v>124</v>
      </c>
    </row>
    <row r="94" spans="10:10">
      <c r="J94" s="3" t="s">
        <v>125</v>
      </c>
    </row>
    <row r="95" spans="10:10">
      <c r="J95" s="3" t="s">
        <v>126</v>
      </c>
    </row>
    <row r="96" spans="10:10">
      <c r="J96" s="3" t="s">
        <v>127</v>
      </c>
    </row>
    <row r="97" spans="10:10">
      <c r="J97" s="3" t="s">
        <v>128</v>
      </c>
    </row>
    <row r="98" spans="10:10">
      <c r="J98" s="3" t="s">
        <v>129</v>
      </c>
    </row>
    <row r="99" spans="10:10">
      <c r="J99" s="3" t="s">
        <v>130</v>
      </c>
    </row>
    <row r="100" spans="10:10">
      <c r="J100" s="3" t="s">
        <v>131</v>
      </c>
    </row>
    <row r="101" spans="10:10">
      <c r="J101" s="3" t="s">
        <v>132</v>
      </c>
    </row>
    <row r="102" spans="10:10">
      <c r="J102" s="3" t="s">
        <v>133</v>
      </c>
    </row>
    <row r="103" spans="10:10">
      <c r="J103" s="3" t="s">
        <v>134</v>
      </c>
    </row>
    <row r="104" spans="10:10">
      <c r="J104" s="3" t="s">
        <v>135</v>
      </c>
    </row>
    <row r="105" spans="10:10">
      <c r="J105" s="3" t="s">
        <v>136</v>
      </c>
    </row>
    <row r="106" spans="10:10">
      <c r="J106" s="3" t="s">
        <v>137</v>
      </c>
    </row>
    <row r="107" spans="10:10">
      <c r="J107" s="3" t="s">
        <v>138</v>
      </c>
    </row>
    <row r="108" spans="10:10">
      <c r="J108" s="3" t="s">
        <v>139</v>
      </c>
    </row>
    <row r="109" spans="10:10">
      <c r="J109" s="3" t="s">
        <v>140</v>
      </c>
    </row>
    <row r="110" spans="10:10">
      <c r="J110" s="3" t="s">
        <v>141</v>
      </c>
    </row>
    <row r="111" spans="10:10">
      <c r="J111" s="3" t="s">
        <v>142</v>
      </c>
    </row>
    <row r="112" spans="10:10">
      <c r="J112" s="3" t="s">
        <v>143</v>
      </c>
    </row>
    <row r="113" spans="10:10">
      <c r="J113" s="3" t="s">
        <v>144</v>
      </c>
    </row>
    <row r="114" spans="10:10">
      <c r="J114" s="3" t="s">
        <v>145</v>
      </c>
    </row>
    <row r="115" spans="10:10">
      <c r="J115" s="3" t="s">
        <v>146</v>
      </c>
    </row>
    <row r="116" spans="10:10">
      <c r="J116" s="3" t="s">
        <v>147</v>
      </c>
    </row>
    <row r="117" spans="10:10">
      <c r="J117" s="3" t="s">
        <v>148</v>
      </c>
    </row>
    <row r="118" spans="10:10">
      <c r="J118" s="3" t="s">
        <v>149</v>
      </c>
    </row>
    <row r="119" spans="10:10">
      <c r="J119" s="3" t="s">
        <v>150</v>
      </c>
    </row>
    <row r="120" spans="10:10">
      <c r="J120" s="3" t="s">
        <v>151</v>
      </c>
    </row>
    <row r="121" spans="10:10">
      <c r="J121" s="3" t="s">
        <v>152</v>
      </c>
    </row>
    <row r="122" spans="10:10">
      <c r="J122" s="3" t="s">
        <v>153</v>
      </c>
    </row>
    <row r="123" spans="10:10">
      <c r="J123" s="3" t="s">
        <v>154</v>
      </c>
    </row>
    <row r="124" spans="10:10">
      <c r="J124" s="3" t="s">
        <v>155</v>
      </c>
    </row>
    <row r="125" spans="10:10">
      <c r="J125" s="3" t="s">
        <v>156</v>
      </c>
    </row>
    <row r="126" spans="10:10">
      <c r="J126" s="3" t="s">
        <v>157</v>
      </c>
    </row>
    <row r="127" spans="10:10">
      <c r="J127" s="3" t="s">
        <v>158</v>
      </c>
    </row>
    <row r="128" spans="10:10">
      <c r="J128" s="3" t="s">
        <v>159</v>
      </c>
    </row>
    <row r="129" spans="10:10">
      <c r="J129" s="3" t="s">
        <v>160</v>
      </c>
    </row>
    <row r="130" spans="10:10">
      <c r="J130" s="3" t="s">
        <v>161</v>
      </c>
    </row>
    <row r="131" spans="10:10">
      <c r="J131" s="3" t="s">
        <v>162</v>
      </c>
    </row>
    <row r="132" spans="10:10">
      <c r="J132" s="3" t="s">
        <v>163</v>
      </c>
    </row>
    <row r="133" spans="10:10">
      <c r="J133" s="3" t="s">
        <v>164</v>
      </c>
    </row>
    <row r="134" spans="10:10">
      <c r="J134" s="3" t="s">
        <v>165</v>
      </c>
    </row>
    <row r="135" spans="10:10">
      <c r="J135" s="3" t="s">
        <v>166</v>
      </c>
    </row>
    <row r="136" spans="10:10">
      <c r="J136" s="3" t="s">
        <v>167</v>
      </c>
    </row>
    <row r="137" spans="10:10">
      <c r="J137" s="3" t="s">
        <v>168</v>
      </c>
    </row>
    <row r="138" spans="10:10">
      <c r="J138" s="3" t="s">
        <v>169</v>
      </c>
    </row>
    <row r="139" spans="10:10">
      <c r="J139" s="3" t="s">
        <v>170</v>
      </c>
    </row>
    <row r="140" spans="10:10">
      <c r="J140" s="3" t="s">
        <v>171</v>
      </c>
    </row>
    <row r="141" spans="10:10">
      <c r="J141" s="3" t="s">
        <v>172</v>
      </c>
    </row>
    <row r="142" spans="10:10">
      <c r="J142" s="3" t="s">
        <v>173</v>
      </c>
    </row>
    <row r="143" spans="10:10">
      <c r="J143" s="3" t="s">
        <v>174</v>
      </c>
    </row>
    <row r="144" spans="10:10">
      <c r="J144" s="3" t="s">
        <v>175</v>
      </c>
    </row>
    <row r="145" spans="10:10">
      <c r="J145" s="3" t="s">
        <v>176</v>
      </c>
    </row>
    <row r="146" spans="10:10">
      <c r="J146" s="3" t="s">
        <v>177</v>
      </c>
    </row>
    <row r="147" spans="10:10">
      <c r="J147" s="3" t="s">
        <v>178</v>
      </c>
    </row>
    <row r="148" spans="10:10">
      <c r="J148" s="3" t="s">
        <v>179</v>
      </c>
    </row>
    <row r="149" spans="10:10">
      <c r="J149" s="3" t="s">
        <v>180</v>
      </c>
    </row>
    <row r="150" spans="10:10">
      <c r="J150" s="3" t="s">
        <v>181</v>
      </c>
    </row>
    <row r="151" spans="10:10">
      <c r="J151" s="3" t="s">
        <v>182</v>
      </c>
    </row>
    <row r="152" spans="10:10">
      <c r="J152" s="3" t="s">
        <v>183</v>
      </c>
    </row>
    <row r="153" spans="10:10">
      <c r="J153" s="3" t="s">
        <v>184</v>
      </c>
    </row>
    <row r="154" spans="10:10">
      <c r="J154" s="3" t="s">
        <v>185</v>
      </c>
    </row>
    <row r="155" spans="10:10">
      <c r="J155" s="3" t="s">
        <v>186</v>
      </c>
    </row>
    <row r="156" spans="10:10">
      <c r="J156" s="3" t="s">
        <v>187</v>
      </c>
    </row>
    <row r="157" spans="10:10">
      <c r="J157" s="3" t="s">
        <v>188</v>
      </c>
    </row>
    <row r="158" spans="10:10">
      <c r="J158" s="3" t="s">
        <v>189</v>
      </c>
    </row>
    <row r="159" spans="10:10">
      <c r="J159" s="3" t="s">
        <v>190</v>
      </c>
    </row>
    <row r="160" spans="10:10">
      <c r="J160" s="3" t="s">
        <v>191</v>
      </c>
    </row>
    <row r="161" spans="10:10">
      <c r="J161" s="3" t="s">
        <v>192</v>
      </c>
    </row>
    <row r="162" spans="10:10">
      <c r="J162" s="3" t="s">
        <v>193</v>
      </c>
    </row>
    <row r="163" spans="10:10">
      <c r="J163" s="3" t="s">
        <v>194</v>
      </c>
    </row>
    <row r="164" spans="10:10">
      <c r="J164" s="3" t="s">
        <v>195</v>
      </c>
    </row>
    <row r="165" spans="10:10">
      <c r="J165" s="3" t="s">
        <v>196</v>
      </c>
    </row>
    <row r="166" spans="10:10">
      <c r="J166" s="3" t="s">
        <v>197</v>
      </c>
    </row>
    <row r="167" spans="10:10">
      <c r="J167" s="3" t="s">
        <v>198</v>
      </c>
    </row>
    <row r="168" spans="10:10">
      <c r="J168" s="3" t="s">
        <v>199</v>
      </c>
    </row>
    <row r="169" spans="10:10">
      <c r="J169" s="3" t="s">
        <v>200</v>
      </c>
    </row>
    <row r="170" spans="10:10">
      <c r="J170" s="3" t="s">
        <v>201</v>
      </c>
    </row>
    <row r="171" spans="10:10">
      <c r="J171" s="3" t="s">
        <v>202</v>
      </c>
    </row>
    <row r="172" spans="10:10">
      <c r="J172" s="3" t="s">
        <v>203</v>
      </c>
    </row>
    <row r="173" spans="10:10">
      <c r="J173" s="3" t="s">
        <v>204</v>
      </c>
    </row>
    <row r="174" spans="10:10">
      <c r="J174" s="3" t="s">
        <v>205</v>
      </c>
    </row>
    <row r="175" spans="10:10">
      <c r="J175" s="3" t="s">
        <v>206</v>
      </c>
    </row>
    <row r="176" spans="10:10">
      <c r="J176" s="3" t="s">
        <v>207</v>
      </c>
    </row>
    <row r="177" spans="10:10">
      <c r="J177" s="3" t="s">
        <v>208</v>
      </c>
    </row>
    <row r="178" spans="10:10">
      <c r="J178" s="3" t="s">
        <v>209</v>
      </c>
    </row>
    <row r="179" spans="10:10">
      <c r="J179" s="3" t="s">
        <v>210</v>
      </c>
    </row>
    <row r="180" spans="10:10">
      <c r="J180" s="3" t="s">
        <v>211</v>
      </c>
    </row>
    <row r="181" spans="10:10">
      <c r="J181" s="3" t="s">
        <v>212</v>
      </c>
    </row>
    <row r="182" spans="10:10">
      <c r="J182" s="3" t="s">
        <v>213</v>
      </c>
    </row>
    <row r="183" spans="10:10">
      <c r="J183" s="3" t="s">
        <v>214</v>
      </c>
    </row>
    <row r="184" spans="10:10">
      <c r="J184" s="3" t="s">
        <v>215</v>
      </c>
    </row>
    <row r="185" spans="10:10">
      <c r="J185" s="3" t="s">
        <v>216</v>
      </c>
    </row>
    <row r="186" spans="10:10">
      <c r="J186" s="3" t="s">
        <v>217</v>
      </c>
    </row>
    <row r="187" spans="10:10">
      <c r="J187" s="3" t="s">
        <v>218</v>
      </c>
    </row>
    <row r="188" spans="10:10">
      <c r="J188" s="3" t="s">
        <v>219</v>
      </c>
    </row>
    <row r="189" spans="10:10">
      <c r="J189" s="3" t="s">
        <v>220</v>
      </c>
    </row>
    <row r="190" spans="10:10">
      <c r="J190" s="3" t="s">
        <v>221</v>
      </c>
    </row>
    <row r="191" spans="10:10">
      <c r="J191" s="3" t="s">
        <v>222</v>
      </c>
    </row>
    <row r="192" spans="10:10">
      <c r="J192" s="3" t="s">
        <v>223</v>
      </c>
    </row>
    <row r="193" spans="10:10">
      <c r="J193" s="3" t="s">
        <v>224</v>
      </c>
    </row>
    <row r="194" spans="10:10">
      <c r="J194" s="3" t="s">
        <v>225</v>
      </c>
    </row>
    <row r="195" spans="10:10">
      <c r="J195" s="3" t="s">
        <v>226</v>
      </c>
    </row>
    <row r="196" spans="10:10">
      <c r="J196" s="3" t="s">
        <v>227</v>
      </c>
    </row>
    <row r="197" spans="10:10">
      <c r="J197" s="3" t="s">
        <v>228</v>
      </c>
    </row>
    <row r="198" spans="10:10">
      <c r="J198" s="3" t="s">
        <v>229</v>
      </c>
    </row>
    <row r="199" spans="10:10">
      <c r="J199" s="3" t="s">
        <v>230</v>
      </c>
    </row>
    <row r="200" spans="10:10">
      <c r="J200" s="3" t="s">
        <v>231</v>
      </c>
    </row>
    <row r="201" spans="10:10">
      <c r="J201" s="3" t="s">
        <v>232</v>
      </c>
    </row>
    <row r="202" spans="10:10">
      <c r="J202" s="3" t="s">
        <v>233</v>
      </c>
    </row>
    <row r="203" spans="10:10">
      <c r="J203" s="3" t="s">
        <v>234</v>
      </c>
    </row>
    <row r="204" spans="10:10">
      <c r="J204" s="3" t="s">
        <v>235</v>
      </c>
    </row>
    <row r="205" spans="10:10">
      <c r="J205" s="3" t="s">
        <v>236</v>
      </c>
    </row>
    <row r="206" spans="10:10">
      <c r="J206" s="3" t="s">
        <v>237</v>
      </c>
    </row>
    <row r="207" spans="10:10">
      <c r="J207" s="3" t="s">
        <v>238</v>
      </c>
    </row>
    <row r="208" spans="10:10">
      <c r="J208" s="3" t="s">
        <v>239</v>
      </c>
    </row>
    <row r="209" spans="10:10">
      <c r="J209" s="3" t="s">
        <v>240</v>
      </c>
    </row>
    <row r="210" spans="10:10">
      <c r="J210" s="3" t="s">
        <v>241</v>
      </c>
    </row>
    <row r="211" spans="10:10">
      <c r="J211" s="3" t="s">
        <v>242</v>
      </c>
    </row>
    <row r="212" spans="10:10">
      <c r="J212" s="3" t="s">
        <v>243</v>
      </c>
    </row>
    <row r="213" spans="10:10">
      <c r="J213" s="3" t="s">
        <v>244</v>
      </c>
    </row>
    <row r="214" spans="10:10">
      <c r="J214" s="3" t="s">
        <v>245</v>
      </c>
    </row>
    <row r="215" spans="10:10">
      <c r="J215" s="3" t="s">
        <v>246</v>
      </c>
    </row>
    <row r="216" spans="10:10">
      <c r="J216" s="3" t="s">
        <v>247</v>
      </c>
    </row>
    <row r="217" spans="10:10">
      <c r="J217" s="3" t="s">
        <v>248</v>
      </c>
    </row>
    <row r="218" spans="10:10">
      <c r="J218" s="3" t="s">
        <v>249</v>
      </c>
    </row>
    <row r="219" spans="10:10">
      <c r="J219" s="3" t="s">
        <v>250</v>
      </c>
    </row>
    <row r="220" spans="10:10">
      <c r="J220" s="3" t="s">
        <v>251</v>
      </c>
    </row>
    <row r="221" spans="10:10">
      <c r="J221" s="3" t="s">
        <v>252</v>
      </c>
    </row>
    <row r="222" spans="10:10">
      <c r="J222" s="3" t="s">
        <v>253</v>
      </c>
    </row>
    <row r="223" spans="10:10">
      <c r="J223" s="3" t="s">
        <v>254</v>
      </c>
    </row>
    <row r="224" spans="10:10">
      <c r="J224" s="3" t="s">
        <v>255</v>
      </c>
    </row>
    <row r="225" spans="10:10">
      <c r="J225" s="3" t="s">
        <v>256</v>
      </c>
    </row>
    <row r="226" spans="10:10">
      <c r="J226" s="3" t="s">
        <v>257</v>
      </c>
    </row>
    <row r="227" spans="10:10">
      <c r="J227" s="3" t="s">
        <v>258</v>
      </c>
    </row>
    <row r="228" spans="10:10">
      <c r="J228" s="3" t="s">
        <v>259</v>
      </c>
    </row>
    <row r="229" spans="10:10">
      <c r="J229" s="3" t="s">
        <v>260</v>
      </c>
    </row>
    <row r="230" spans="10:10">
      <c r="J230" s="3" t="s">
        <v>261</v>
      </c>
    </row>
    <row r="231" spans="10:10">
      <c r="J231" s="3" t="s">
        <v>262</v>
      </c>
    </row>
    <row r="232" spans="10:10">
      <c r="J232" s="3" t="s">
        <v>263</v>
      </c>
    </row>
    <row r="233" spans="10:10">
      <c r="J233" s="3" t="s">
        <v>264</v>
      </c>
    </row>
    <row r="234" spans="10:10">
      <c r="J234" s="3" t="s">
        <v>265</v>
      </c>
    </row>
    <row r="235" spans="10:10">
      <c r="J235" s="3" t="s">
        <v>266</v>
      </c>
    </row>
    <row r="236" spans="10:10">
      <c r="J236" s="3" t="s">
        <v>267</v>
      </c>
    </row>
    <row r="237" spans="10:10">
      <c r="J237" s="3" t="s">
        <v>268</v>
      </c>
    </row>
    <row r="238" spans="10:10">
      <c r="J238" s="3" t="s">
        <v>269</v>
      </c>
    </row>
    <row r="239" spans="10:10">
      <c r="J239" s="3" t="s">
        <v>270</v>
      </c>
    </row>
    <row r="240" spans="10:10">
      <c r="J240" s="3" t="s">
        <v>323</v>
      </c>
    </row>
    <row r="241" spans="10:10">
      <c r="J241" s="3" t="s">
        <v>324</v>
      </c>
    </row>
    <row r="242" spans="10:10">
      <c r="J242" s="3" t="s">
        <v>325</v>
      </c>
    </row>
    <row r="243" spans="10:10">
      <c r="J243" s="3" t="s">
        <v>326</v>
      </c>
    </row>
    <row r="244" spans="10:10">
      <c r="J244" s="3" t="s">
        <v>327</v>
      </c>
    </row>
    <row r="245" spans="10:10">
      <c r="J245" s="3" t="s">
        <v>328</v>
      </c>
    </row>
    <row r="246" spans="10:10">
      <c r="J246" s="3" t="s">
        <v>329</v>
      </c>
    </row>
    <row r="247" spans="10:10">
      <c r="J247" s="3" t="s">
        <v>330</v>
      </c>
    </row>
    <row r="248" spans="10:10">
      <c r="J248" s="3" t="s">
        <v>322</v>
      </c>
    </row>
    <row r="249" spans="10:10">
      <c r="J249" s="3" t="s">
        <v>331</v>
      </c>
    </row>
    <row r="250" spans="10:10">
      <c r="J250" s="3" t="s">
        <v>271</v>
      </c>
    </row>
    <row r="251" spans="10:10">
      <c r="J251" s="3" t="s">
        <v>272</v>
      </c>
    </row>
    <row r="252" spans="10:10">
      <c r="J252" s="3" t="s">
        <v>273</v>
      </c>
    </row>
    <row r="253" spans="10:10">
      <c r="J253" s="3" t="s">
        <v>274</v>
      </c>
    </row>
    <row r="254" spans="10:10">
      <c r="J254" s="3" t="s">
        <v>275</v>
      </c>
    </row>
    <row r="255" spans="10:10">
      <c r="J255" s="58"/>
    </row>
    <row r="256" spans="10:10">
      <c r="J256" s="58"/>
    </row>
    <row r="257" spans="10:10">
      <c r="J257" s="58"/>
    </row>
    <row r="258" spans="10:10">
      <c r="J258" s="58"/>
    </row>
    <row r="259" spans="10:10">
      <c r="J259" s="58"/>
    </row>
    <row r="260" spans="10:10">
      <c r="J260" s="58"/>
    </row>
    <row r="261" spans="10:10">
      <c r="J261" s="58"/>
    </row>
    <row r="262" spans="10:10">
      <c r="J262" s="58"/>
    </row>
    <row r="263" spans="10:10">
      <c r="J263" s="58"/>
    </row>
  </sheetData>
  <mergeCells count="7">
    <mergeCell ref="B30:G55"/>
    <mergeCell ref="B56:G58"/>
    <mergeCell ref="B2:G2"/>
    <mergeCell ref="E8:G8"/>
    <mergeCell ref="E9:G21"/>
    <mergeCell ref="E22:G24"/>
    <mergeCell ref="G27:G28"/>
  </mergeCells>
  <dataValidations count="7">
    <dataValidation type="list" showErrorMessage="1" errorTitle="Invalid data" error="Enter valid data" sqref="D13" xr:uid="{00000000-0002-0000-0100-000000000000}">
      <formula1>$K$7:$K$11</formula1>
    </dataValidation>
    <dataValidation type="list" showInputMessage="1" showErrorMessage="1" errorTitle="Invalid data" error="Enter valid data" sqref="D14" xr:uid="{00000000-0002-0000-0100-000001000000}">
      <formula1>$L$7:$L$10</formula1>
    </dataValidation>
    <dataValidation type="list" operator="equal" allowBlank="1" showInputMessage="1" showErrorMessage="1" errorTitle="Invalid Data" error="Enter valid data" sqref="D11" xr:uid="{00000000-0002-0000-0100-000002000000}">
      <formula1>$J$7:$J$254</formula1>
    </dataValidation>
    <dataValidation type="list" allowBlank="1" showInputMessage="1" showErrorMessage="1" errorTitle="Invalid data" error="Enter valid data" sqref="D15" xr:uid="{00000000-0002-0000-0100-000003000000}">
      <formula1>$M$7:$M$20</formula1>
    </dataValidation>
    <dataValidation type="list" allowBlank="1" showInputMessage="1" showErrorMessage="1" errorTitle="Invalid data" error="Enter valid data" sqref="D20:D24"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0" location="Patients!B15" display="Patients!B15" xr:uid="{00000000-0004-0000-0100-00000D000000}"/>
    <hyperlink ref="C21:C23" location="Patients!B15" display="Patients!B15" xr:uid="{00000000-0004-0000-0100-00000E000000}"/>
    <hyperlink ref="C28" location="Patients!B16" display="Patients!B16" xr:uid="{00000000-0004-0000-0100-00000F000000}"/>
    <hyperlink ref="C27" location="Patients!B13" display="Patients!B13" xr:uid="{00000000-0004-0000-0100-000010000000}"/>
    <hyperlink ref="B56" r:id="rId1" xr:uid="{8402E9BE-7A94-AE41-A348-3077B4F2DA5E}"/>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activeCell="B5" sqref="B5"/>
    </sheetView>
  </sheetViews>
  <sheetFormatPr baseColWidth="10" defaultColWidth="8.83203125" defaultRowHeight="15"/>
  <cols>
    <col min="1" max="1" width="14" bestFit="1" customWidth="1"/>
    <col min="2" max="2" width="12.1640625" bestFit="1" customWidth="1"/>
  </cols>
  <sheetData>
    <row r="1" spans="1:2" s="1" customFormat="1">
      <c r="A1" s="1" t="s">
        <v>0</v>
      </c>
      <c r="B1" s="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
  <sheetViews>
    <sheetView workbookViewId="0">
      <pane ySplit="1" topLeftCell="A2" activePane="bottomLeft" state="frozen"/>
      <selection pane="bottomLeft" activeCell="B3" sqref="B3"/>
    </sheetView>
  </sheetViews>
  <sheetFormatPr baseColWidth="10" defaultColWidth="8.83203125" defaultRowHeight="15"/>
  <cols>
    <col min="1" max="1" width="14" bestFit="1" customWidth="1"/>
    <col min="2" max="2" width="17" bestFit="1" customWidth="1"/>
    <col min="3" max="3" width="13" style="8" customWidth="1"/>
    <col min="4" max="4" width="10.33203125" bestFit="1" customWidth="1"/>
    <col min="5" max="5" width="13.5" style="18" bestFit="1" customWidth="1"/>
    <col min="6" max="6" width="11.5" bestFit="1" customWidth="1"/>
    <col min="7" max="7" width="20.5" bestFit="1" customWidth="1"/>
    <col min="8" max="8" width="46.83203125" bestFit="1" customWidth="1"/>
    <col min="9" max="9" width="19" style="20" bestFit="1" customWidth="1"/>
    <col min="10" max="10" width="17.33203125" bestFit="1" customWidth="1"/>
    <col min="11" max="11" width="12.6640625" bestFit="1" customWidth="1"/>
    <col min="12" max="12" width="19" bestFit="1" customWidth="1"/>
  </cols>
  <sheetData>
    <row r="1" spans="1:12" s="2" customFormat="1" ht="32">
      <c r="A1" s="2" t="s">
        <v>0</v>
      </c>
      <c r="B1" s="2" t="s">
        <v>1</v>
      </c>
      <c r="C1" s="9" t="s">
        <v>304</v>
      </c>
      <c r="D1" s="2" t="s">
        <v>2</v>
      </c>
      <c r="E1" s="17" t="s">
        <v>3</v>
      </c>
      <c r="F1" s="2" t="s">
        <v>4</v>
      </c>
      <c r="G1" s="2" t="s">
        <v>5</v>
      </c>
      <c r="H1" s="2" t="s">
        <v>6</v>
      </c>
      <c r="I1" s="19" t="s">
        <v>7</v>
      </c>
      <c r="J1" s="2" t="s">
        <v>8</v>
      </c>
      <c r="K1" s="2" t="s">
        <v>9</v>
      </c>
      <c r="L1" s="2" t="s">
        <v>10</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cols>
    <col min="1" max="1" width="15.1640625" customWidth="1"/>
    <col min="2" max="2" width="21.5" bestFit="1" customWidth="1"/>
    <col min="3" max="3" width="12" customWidth="1"/>
  </cols>
  <sheetData>
    <row r="1" spans="1:3" s="1" customFormat="1">
      <c r="A1" s="1" t="s">
        <v>0</v>
      </c>
      <c r="B1" s="1" t="s">
        <v>1</v>
      </c>
      <c r="C1" s="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activeCell="D1" sqref="D1:D1048576"/>
    </sheetView>
  </sheetViews>
  <sheetFormatPr baseColWidth="10" defaultColWidth="8.83203125" defaultRowHeight="15"/>
  <cols>
    <col min="1" max="1" width="15" bestFit="1" customWidth="1"/>
    <col min="2" max="2" width="19" style="29" bestFit="1" customWidth="1"/>
    <col min="3" max="3" width="22.83203125" bestFit="1" customWidth="1"/>
    <col min="4" max="4" width="8.83203125" style="20"/>
  </cols>
  <sheetData>
    <row r="1" spans="1:4" s="1" customFormat="1">
      <c r="A1" s="1" t="s">
        <v>0</v>
      </c>
      <c r="B1" s="28" t="s">
        <v>9</v>
      </c>
      <c r="C1" s="1" t="s">
        <v>13</v>
      </c>
      <c r="D1" s="36" t="s">
        <v>334</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A61" sqref="A61"/>
    </sheetView>
  </sheetViews>
  <sheetFormatPr baseColWidth="10" defaultColWidth="8.83203125" defaultRowHeight="1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7"/>
  <sheetViews>
    <sheetView workbookViewId="0">
      <pane xSplit="1" ySplit="1" topLeftCell="B2" activePane="bottomRight" state="frozen"/>
      <selection pane="topRight" activeCell="B1" sqref="B1"/>
      <selection pane="bottomLeft" activeCell="A2" sqref="A2"/>
      <selection pane="bottomRight" activeCell="C6" sqref="C6"/>
    </sheetView>
  </sheetViews>
  <sheetFormatPr baseColWidth="10" defaultColWidth="8.83203125" defaultRowHeight="15"/>
  <cols>
    <col min="1" max="1" width="26.33203125" bestFit="1" customWidth="1"/>
    <col min="2" max="2" width="46" style="24" customWidth="1"/>
  </cols>
  <sheetData>
    <row r="1" spans="1:2" s="1" customFormat="1" ht="16">
      <c r="A1" s="1" t="s">
        <v>289</v>
      </c>
      <c r="B1" s="23" t="s">
        <v>290</v>
      </c>
    </row>
    <row r="2" spans="1:2" ht="16">
      <c r="A2" t="str">
        <f>Input!C3</f>
        <v>*Study Id</v>
      </c>
      <c r="B2" s="21" t="s">
        <v>291</v>
      </c>
    </row>
    <row r="3" spans="1:2" ht="16">
      <c r="A3" t="str">
        <f>Input!E3</f>
        <v>Change Code</v>
      </c>
      <c r="B3" s="21" t="s">
        <v>292</v>
      </c>
    </row>
    <row r="4" spans="1:2" ht="32">
      <c r="A4" t="str">
        <f>Input!C9</f>
        <v xml:space="preserve">*Study Subject Identifier </v>
      </c>
      <c r="B4" s="21" t="s">
        <v>295</v>
      </c>
    </row>
    <row r="5" spans="1:2" ht="96">
      <c r="A5" t="str">
        <f>Input!C10</f>
        <v>*Zip Code (if US)</v>
      </c>
      <c r="B5" s="21" t="s">
        <v>338</v>
      </c>
    </row>
    <row r="6" spans="1:2" ht="112">
      <c r="A6" t="str">
        <f>Input!C11</f>
        <v>*Country of Residence</v>
      </c>
      <c r="B6" s="21" t="s">
        <v>339</v>
      </c>
    </row>
    <row r="7" spans="1:2" ht="16">
      <c r="A7" t="str">
        <f>Input!C12</f>
        <v>*Patient’s Date of Birth</v>
      </c>
      <c r="B7" s="21" t="s">
        <v>297</v>
      </c>
    </row>
    <row r="8" spans="1:2" ht="48">
      <c r="A8" t="str">
        <f>Input!C13</f>
        <v>*Gender of a Person</v>
      </c>
      <c r="B8" s="21" t="s">
        <v>298</v>
      </c>
    </row>
    <row r="9" spans="1:2" ht="32">
      <c r="A9" t="str">
        <f>Input!C14</f>
        <v>*Ethnicity</v>
      </c>
      <c r="B9" s="21" t="s">
        <v>299</v>
      </c>
    </row>
    <row r="10" spans="1:2" ht="80">
      <c r="A10" t="str">
        <f>Input!C15</f>
        <v>Payment Method</v>
      </c>
      <c r="B10" s="21" t="s">
        <v>300</v>
      </c>
    </row>
    <row r="11" spans="1:2" ht="16">
      <c r="A11" t="str">
        <f>Input!C16</f>
        <v>*Subject Registration Date</v>
      </c>
      <c r="B11" s="21" t="s">
        <v>301</v>
      </c>
    </row>
    <row r="12" spans="1:2" ht="32">
      <c r="A12" t="str">
        <f>Input!C17</f>
        <v>Registering Group Identifier</v>
      </c>
      <c r="B12" s="21" t="s">
        <v>296</v>
      </c>
    </row>
    <row r="13" spans="1:2" ht="32">
      <c r="A13" t="str">
        <f>Input!C18</f>
        <v>*Study Site Identifier</v>
      </c>
      <c r="B13" s="21" t="s">
        <v>294</v>
      </c>
    </row>
    <row r="14" spans="1:2" ht="16">
      <c r="A14" t="str">
        <f>Input!C19</f>
        <v>*Subject Disease Code</v>
      </c>
      <c r="B14" s="21" t="s">
        <v>302</v>
      </c>
    </row>
    <row r="15" spans="1:2" ht="32">
      <c r="A15" t="str">
        <f>Input!C20</f>
        <v>*Race</v>
      </c>
      <c r="B15" s="21" t="s">
        <v>303</v>
      </c>
    </row>
    <row r="16" spans="1:2" ht="16">
      <c r="A16" t="str">
        <f>Input!C28</f>
        <v>*Study Site Accrual Count</v>
      </c>
      <c r="B16" s="21" t="s">
        <v>293</v>
      </c>
    </row>
    <row r="17" spans="2:2">
      <c r="B17" s="21"/>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2020-02-18T18:57:12Z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